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3.xml" ContentType="application/vnd.openxmlformats-officedocument.drawing+xml"/>
  <Override PartName="/xl/charts/chart12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3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0"/>
  <workbookPr/>
  <mc:AlternateContent xmlns:mc="http://schemas.openxmlformats.org/markup-compatibility/2006">
    <mc:Choice Requires="x15">
      <x15ac:absPath xmlns:x15ac="http://schemas.microsoft.com/office/spreadsheetml/2010/11/ac" url="/Users/fnadiaser/Desktop/Учеба/Мисос/4 семестр/Эконометрика/"/>
    </mc:Choice>
  </mc:AlternateContent>
  <xr:revisionPtr revIDLastSave="0" documentId="13_ncr:1_{679B147A-E404-9A40-B6CB-90325C93DAFB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Исходные данные" sheetId="18" r:id="rId1"/>
    <sheet name="Корреляционный анализ" sheetId="1" r:id="rId2"/>
    <sheet name="Регресионный анализ" sheetId="4" r:id="rId3"/>
    <sheet name="Множественная регрессия" sheetId="5" r:id="rId4"/>
    <sheet name="Проверка гипотез" sheetId="7" r:id="rId5"/>
    <sheet name="Анализ временных рядов" sheetId="1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5" i="16" l="1"/>
  <c r="E25" i="16" s="1"/>
  <c r="F26" i="16" s="1"/>
  <c r="G26" i="16" s="1"/>
  <c r="E47" i="16" s="1"/>
  <c r="D26" i="16"/>
  <c r="E26" i="16"/>
  <c r="D27" i="16"/>
  <c r="E27" i="16" s="1"/>
  <c r="D28" i="16"/>
  <c r="E28" i="16"/>
  <c r="D29" i="16"/>
  <c r="E29" i="16" s="1"/>
  <c r="B30" i="16"/>
  <c r="D30" i="16"/>
  <c r="E30" i="16"/>
  <c r="B31" i="16"/>
  <c r="D31" i="16"/>
  <c r="E31" i="16" s="1"/>
  <c r="B32" i="16"/>
  <c r="B33" i="16" s="1"/>
  <c r="B34" i="16" s="1"/>
  <c r="B35" i="16" s="1"/>
  <c r="B36" i="16" s="1"/>
  <c r="B37" i="16" s="1"/>
  <c r="B38" i="16" s="1"/>
  <c r="B39" i="16" s="1"/>
  <c r="B40" i="16" s="1"/>
  <c r="B41" i="16" s="1"/>
  <c r="D32" i="16"/>
  <c r="E32" i="16"/>
  <c r="D33" i="16"/>
  <c r="E33" i="16"/>
  <c r="D34" i="16"/>
  <c r="E34" i="16" s="1"/>
  <c r="D35" i="16"/>
  <c r="E35" i="16"/>
  <c r="F36" i="16" s="1"/>
  <c r="G36" i="16" s="1"/>
  <c r="E49" i="16" s="1"/>
  <c r="D36" i="16"/>
  <c r="E36" i="16"/>
  <c r="D37" i="16"/>
  <c r="E37" i="16" s="1"/>
  <c r="D38" i="16"/>
  <c r="E38" i="16"/>
  <c r="E56" i="16"/>
  <c r="E57" i="16"/>
  <c r="E58" i="16"/>
  <c r="E59" i="16"/>
  <c r="B76" i="16" s="1"/>
  <c r="E60" i="16"/>
  <c r="D61" i="16"/>
  <c r="E61" i="16"/>
  <c r="F61" i="16"/>
  <c r="G61" i="16"/>
  <c r="H61" i="16"/>
  <c r="I61" i="16" s="1"/>
  <c r="D62" i="16"/>
  <c r="E62" i="16"/>
  <c r="F62" i="16"/>
  <c r="G62" i="16"/>
  <c r="H62" i="16"/>
  <c r="I62" i="16"/>
  <c r="D63" i="16"/>
  <c r="G63" i="16" s="1"/>
  <c r="E63" i="16"/>
  <c r="F63" i="16" s="1"/>
  <c r="D64" i="16"/>
  <c r="H64" i="16" s="1"/>
  <c r="E64" i="16"/>
  <c r="F64" i="16"/>
  <c r="D65" i="16"/>
  <c r="E65" i="16"/>
  <c r="F65" i="16"/>
  <c r="G65" i="16"/>
  <c r="H65" i="16"/>
  <c r="I65" i="16" s="1"/>
  <c r="D66" i="16"/>
  <c r="E66" i="16"/>
  <c r="F66" i="16" s="1"/>
  <c r="G66" i="16"/>
  <c r="H66" i="16"/>
  <c r="I66" i="16"/>
  <c r="D67" i="16"/>
  <c r="G67" i="16" s="1"/>
  <c r="E67" i="16"/>
  <c r="F67" i="16" s="1"/>
  <c r="D68" i="16"/>
  <c r="H68" i="16" s="1"/>
  <c r="E68" i="16"/>
  <c r="F68" i="16"/>
  <c r="D69" i="16"/>
  <c r="E69" i="16"/>
  <c r="F69" i="16"/>
  <c r="G69" i="16"/>
  <c r="H69" i="16"/>
  <c r="I69" i="16" s="1"/>
  <c r="D70" i="16"/>
  <c r="E70" i="16"/>
  <c r="F70" i="16" s="1"/>
  <c r="G70" i="16"/>
  <c r="H70" i="16"/>
  <c r="I70" i="16"/>
  <c r="D71" i="16"/>
  <c r="G71" i="16" s="1"/>
  <c r="E71" i="16"/>
  <c r="F71" i="16"/>
  <c r="D72" i="16"/>
  <c r="H72" i="16" s="1"/>
  <c r="E72" i="16"/>
  <c r="F72" i="16"/>
  <c r="D73" i="16"/>
  <c r="E73" i="16"/>
  <c r="F73" i="16"/>
  <c r="G73" i="16"/>
  <c r="H73" i="16"/>
  <c r="I73" i="16" s="1"/>
  <c r="C83" i="16"/>
  <c r="E83" i="16" s="1"/>
  <c r="D83" i="16"/>
  <c r="C84" i="16"/>
  <c r="D84" i="16"/>
  <c r="E84" i="16"/>
  <c r="F84" i="16"/>
  <c r="C85" i="16"/>
  <c r="E85" i="16" s="1"/>
  <c r="F85" i="16" s="1"/>
  <c r="D85" i="16"/>
  <c r="C86" i="16"/>
  <c r="D86" i="16"/>
  <c r="E86" i="16"/>
  <c r="F86" i="16"/>
  <c r="C87" i="16"/>
  <c r="E87" i="16" s="1"/>
  <c r="F87" i="16" s="1"/>
  <c r="D87" i="16"/>
  <c r="C88" i="16"/>
  <c r="D88" i="16"/>
  <c r="E88" i="16"/>
  <c r="F88" i="16"/>
  <c r="C89" i="16"/>
  <c r="E89" i="16" s="1"/>
  <c r="F89" i="16" s="1"/>
  <c r="D89" i="16"/>
  <c r="C90" i="16"/>
  <c r="D90" i="16"/>
  <c r="E90" i="16"/>
  <c r="F90" i="16"/>
  <c r="C91" i="16"/>
  <c r="E91" i="16" s="1"/>
  <c r="F91" i="16" s="1"/>
  <c r="D91" i="16"/>
  <c r="C92" i="16"/>
  <c r="D92" i="16"/>
  <c r="E92" i="16"/>
  <c r="F92" i="16"/>
  <c r="C93" i="16"/>
  <c r="E93" i="16" s="1"/>
  <c r="F93" i="16" s="1"/>
  <c r="D93" i="16"/>
  <c r="C94" i="16"/>
  <c r="D94" i="16"/>
  <c r="E94" i="16"/>
  <c r="F94" i="16"/>
  <c r="C95" i="16"/>
  <c r="E95" i="16" s="1"/>
  <c r="F95" i="16" s="1"/>
  <c r="D95" i="16"/>
  <c r="C96" i="16"/>
  <c r="D96" i="16"/>
  <c r="E96" i="16"/>
  <c r="F96" i="16"/>
  <c r="C97" i="16"/>
  <c r="E97" i="16" s="1"/>
  <c r="F97" i="16" s="1"/>
  <c r="D97" i="16"/>
  <c r="C98" i="16"/>
  <c r="D98" i="16"/>
  <c r="E98" i="16"/>
  <c r="F98" i="16"/>
  <c r="C99" i="16"/>
  <c r="E99" i="16" s="1"/>
  <c r="F99" i="16" s="1"/>
  <c r="D99" i="16"/>
  <c r="C100" i="16"/>
  <c r="D100" i="16"/>
  <c r="E100" i="16"/>
  <c r="F100" i="16"/>
  <c r="F30" i="16" l="1"/>
  <c r="G30" i="16" s="1"/>
  <c r="D48" i="16" s="1"/>
  <c r="F29" i="16"/>
  <c r="G29" i="16" s="1"/>
  <c r="C48" i="16" s="1"/>
  <c r="F83" i="16"/>
  <c r="F101" i="16" s="1"/>
  <c r="B80" i="16" s="1"/>
  <c r="E101" i="16"/>
  <c r="F27" i="16"/>
  <c r="F28" i="16"/>
  <c r="G28" i="16" s="1"/>
  <c r="G47" i="16" s="1"/>
  <c r="G27" i="16"/>
  <c r="F47" i="16" s="1"/>
  <c r="F35" i="16"/>
  <c r="F31" i="16"/>
  <c r="G31" i="16" s="1"/>
  <c r="E48" i="16" s="1"/>
  <c r="F38" i="16"/>
  <c r="G38" i="16" s="1"/>
  <c r="G49" i="16" s="1"/>
  <c r="F37" i="16"/>
  <c r="G37" i="16" s="1"/>
  <c r="F49" i="16" s="1"/>
  <c r="F32" i="16"/>
  <c r="G32" i="16" s="1"/>
  <c r="F48" i="16" s="1"/>
  <c r="F34" i="16"/>
  <c r="G34" i="16" s="1"/>
  <c r="C49" i="16" s="1"/>
  <c r="F33" i="16"/>
  <c r="G33" i="16" s="1"/>
  <c r="G48" i="16" s="1"/>
  <c r="G72" i="16"/>
  <c r="G68" i="16"/>
  <c r="G64" i="16"/>
  <c r="G35" i="16"/>
  <c r="D49" i="16" s="1"/>
  <c r="H71" i="16"/>
  <c r="H67" i="16"/>
  <c r="I67" i="16" s="1"/>
  <c r="H63" i="16"/>
  <c r="I63" i="16" s="1"/>
  <c r="I71" i="16"/>
  <c r="I72" i="16"/>
  <c r="I68" i="16"/>
  <c r="I64" i="16"/>
  <c r="C51" i="16" l="1"/>
  <c r="C52" i="16"/>
  <c r="E51" i="16"/>
  <c r="E52" i="16"/>
  <c r="F52" i="16"/>
  <c r="F51" i="16"/>
  <c r="G52" i="16"/>
  <c r="G51" i="16"/>
  <c r="D51" i="16"/>
  <c r="D52" i="16"/>
  <c r="J51" i="16" l="1"/>
  <c r="G53" i="16" s="1"/>
  <c r="C60" i="16" s="1"/>
  <c r="C53" i="16"/>
  <c r="C56" i="16" s="1"/>
  <c r="F60" i="16" l="1"/>
  <c r="D60" i="16"/>
  <c r="F53" i="16"/>
  <c r="C59" i="16" s="1"/>
  <c r="D56" i="16"/>
  <c r="F56" i="16"/>
  <c r="D53" i="16"/>
  <c r="C57" i="16" s="1"/>
  <c r="E53" i="16"/>
  <c r="C58" i="16" s="1"/>
  <c r="D57" i="16" l="1"/>
  <c r="F57" i="16"/>
  <c r="D59" i="16"/>
  <c r="F59" i="16"/>
  <c r="D58" i="16"/>
  <c r="F58" i="16"/>
  <c r="B75" i="16"/>
  <c r="G56" i="16"/>
  <c r="H56" i="16"/>
  <c r="I56" i="16"/>
  <c r="H60" i="16"/>
  <c r="I60" i="16"/>
  <c r="G60" i="16"/>
  <c r="G58" i="16" l="1"/>
  <c r="H58" i="16"/>
  <c r="I58" i="16"/>
  <c r="B77" i="16"/>
  <c r="B79" i="16" s="1"/>
  <c r="G59" i="16"/>
  <c r="H59" i="16"/>
  <c r="I59" i="16"/>
  <c r="H57" i="16"/>
  <c r="I57" i="16" s="1"/>
  <c r="G57" i="16"/>
  <c r="B78" i="16" l="1"/>
  <c r="B9" i="16" l="1"/>
  <c r="B10" i="16" s="1"/>
  <c r="B11" i="16" s="1"/>
  <c r="B12" i="16" s="1"/>
  <c r="B13" i="16" s="1"/>
  <c r="B14" i="16" s="1"/>
  <c r="B15" i="16" s="1"/>
  <c r="B16" i="16" s="1"/>
  <c r="B17" i="16" s="1"/>
  <c r="B18" i="16" s="1"/>
  <c r="B19" i="16" s="1"/>
  <c r="B20" i="16" s="1"/>
  <c r="Q85" i="7" l="1"/>
  <c r="AF55" i="7"/>
  <c r="AF53" i="7"/>
  <c r="T28" i="7"/>
  <c r="T29" i="7"/>
  <c r="T30" i="7"/>
  <c r="T31" i="7"/>
  <c r="T32" i="7"/>
  <c r="T33" i="7"/>
  <c r="T34" i="7"/>
  <c r="T35" i="7"/>
  <c r="T36" i="7"/>
  <c r="T37" i="7"/>
  <c r="T38" i="7"/>
  <c r="T39" i="7"/>
  <c r="T40" i="7"/>
  <c r="T41" i="7"/>
  <c r="T42" i="7"/>
  <c r="T43" i="7"/>
  <c r="T44" i="7"/>
  <c r="M25" i="7"/>
  <c r="M24" i="7"/>
  <c r="M26" i="7" s="1"/>
  <c r="D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" i="7"/>
  <c r="A8" i="7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Z13" i="1" l="1"/>
  <c r="Z18" i="1" s="1"/>
  <c r="Z15" i="1"/>
  <c r="X41" i="1"/>
  <c r="W41" i="1"/>
  <c r="X24" i="1"/>
  <c r="X25" i="1"/>
  <c r="X26" i="1"/>
  <c r="X27" i="1"/>
  <c r="X28" i="1"/>
  <c r="W24" i="1"/>
  <c r="W25" i="1"/>
  <c r="W26" i="1"/>
  <c r="W27" i="1"/>
  <c r="W28" i="1"/>
  <c r="R15" i="1"/>
  <c r="R13" i="1"/>
  <c r="R18" i="1" s="1"/>
  <c r="P41" i="1"/>
  <c r="O24" i="1"/>
  <c r="O25" i="1"/>
  <c r="O26" i="1"/>
  <c r="O27" i="1"/>
  <c r="O28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O41" i="1"/>
  <c r="H41" i="1"/>
  <c r="H28" i="1"/>
  <c r="G28" i="1"/>
  <c r="H25" i="1"/>
  <c r="H26" i="1"/>
  <c r="H27" i="1"/>
  <c r="H24" i="1"/>
  <c r="G41" i="1"/>
  <c r="G25" i="1"/>
  <c r="G26" i="1"/>
  <c r="G27" i="1"/>
  <c r="G24" i="1"/>
  <c r="J15" i="1"/>
  <c r="J13" i="1"/>
  <c r="G30" i="1"/>
  <c r="G31" i="1"/>
  <c r="G32" i="1"/>
  <c r="G40" i="1"/>
  <c r="AF52" i="7"/>
  <c r="Q86" i="7"/>
  <c r="Q84" i="7"/>
  <c r="T27" i="7"/>
  <c r="M27" i="7"/>
  <c r="E11" i="5"/>
  <c r="D11" i="5"/>
  <c r="D10" i="5"/>
  <c r="C10" i="5"/>
  <c r="C11" i="5"/>
  <c r="C9" i="5"/>
  <c r="B9" i="5"/>
  <c r="B10" i="5"/>
  <c r="B11" i="5"/>
  <c r="B8" i="5"/>
  <c r="H30" i="1"/>
  <c r="H31" i="1"/>
  <c r="H32" i="1"/>
  <c r="H33" i="1"/>
  <c r="H34" i="1"/>
  <c r="H35" i="1"/>
  <c r="H36" i="1"/>
  <c r="H37" i="1"/>
  <c r="H38" i="1"/>
  <c r="H39" i="1"/>
  <c r="H40" i="1"/>
  <c r="H29" i="1"/>
  <c r="G33" i="1"/>
  <c r="G34" i="1"/>
  <c r="G35" i="1"/>
  <c r="G36" i="1"/>
  <c r="G37" i="1"/>
  <c r="G38" i="1"/>
  <c r="G39" i="1"/>
  <c r="O30" i="1"/>
  <c r="O31" i="1"/>
  <c r="O32" i="1"/>
  <c r="O33" i="1"/>
  <c r="O34" i="1"/>
  <c r="O35" i="1"/>
  <c r="O36" i="1"/>
  <c r="O37" i="1"/>
  <c r="O38" i="1"/>
  <c r="O39" i="1"/>
  <c r="O40" i="1"/>
  <c r="O29" i="1"/>
  <c r="W30" i="1"/>
  <c r="W31" i="1"/>
  <c r="W32" i="1"/>
  <c r="W33" i="1"/>
  <c r="W34" i="1"/>
  <c r="W35" i="1"/>
  <c r="W36" i="1"/>
  <c r="W37" i="1"/>
  <c r="W38" i="1"/>
  <c r="W39" i="1"/>
  <c r="W40" i="1"/>
  <c r="W29" i="1"/>
  <c r="X30" i="1"/>
  <c r="X31" i="1"/>
  <c r="X32" i="1"/>
  <c r="X33" i="1"/>
  <c r="X34" i="1"/>
  <c r="X35" i="1"/>
  <c r="X36" i="1"/>
  <c r="X37" i="1"/>
  <c r="X38" i="1"/>
  <c r="X39" i="1"/>
  <c r="X40" i="1"/>
  <c r="X29" i="1"/>
  <c r="A8" i="1"/>
  <c r="A9" i="1" s="1"/>
  <c r="O43" i="1" l="1"/>
  <c r="Q28" i="1" s="1"/>
  <c r="T28" i="1" s="1"/>
  <c r="H43" i="1"/>
  <c r="J26" i="1" s="1"/>
  <c r="M26" i="1" s="1"/>
  <c r="P43" i="1"/>
  <c r="R41" i="1" s="1"/>
  <c r="U41" i="1" s="1"/>
  <c r="X43" i="1"/>
  <c r="Z41" i="1" s="1"/>
  <c r="AC41" i="1" s="1"/>
  <c r="Q25" i="1"/>
  <c r="T25" i="1" s="1"/>
  <c r="Q27" i="1"/>
  <c r="T27" i="1" s="1"/>
  <c r="Q24" i="1"/>
  <c r="T24" i="1" s="1"/>
  <c r="Y24" i="1"/>
  <c r="J25" i="1"/>
  <c r="M25" i="1" s="1"/>
  <c r="W43" i="1"/>
  <c r="Y27" i="1" s="1"/>
  <c r="Q89" i="7"/>
  <c r="M29" i="7"/>
  <c r="AF54" i="7"/>
  <c r="AF57" i="7" s="1"/>
  <c r="J18" i="1"/>
  <c r="G29" i="1"/>
  <c r="G43" i="1" s="1"/>
  <c r="A10" i="1"/>
  <c r="A11" i="1" s="1"/>
  <c r="A12" i="1" s="1"/>
  <c r="A13" i="1" s="1"/>
  <c r="A14" i="1" s="1"/>
  <c r="A15" i="1" s="1"/>
  <c r="A16" i="1" s="1"/>
  <c r="A17" i="1" s="1"/>
  <c r="A18" i="1" s="1"/>
  <c r="A19" i="1" s="1"/>
  <c r="J31" i="1"/>
  <c r="M31" i="1" s="1"/>
  <c r="Z16" i="1"/>
  <c r="R16" i="1"/>
  <c r="Z34" i="1" l="1"/>
  <c r="AC34" i="1" s="1"/>
  <c r="Z24" i="1"/>
  <c r="AC24" i="1" s="1"/>
  <c r="Z27" i="1"/>
  <c r="AC27" i="1" s="1"/>
  <c r="Z25" i="1"/>
  <c r="AC25" i="1" s="1"/>
  <c r="Y28" i="1"/>
  <c r="AA28" i="1" s="1"/>
  <c r="I26" i="1"/>
  <c r="L26" i="1" s="1"/>
  <c r="I36" i="1"/>
  <c r="L36" i="1" s="1"/>
  <c r="I28" i="1"/>
  <c r="L28" i="1" s="1"/>
  <c r="J24" i="1"/>
  <c r="M24" i="1" s="1"/>
  <c r="Q33" i="1"/>
  <c r="T33" i="1" s="1"/>
  <c r="Z26" i="1"/>
  <c r="AC26" i="1" s="1"/>
  <c r="Z28" i="1"/>
  <c r="AC28" i="1" s="1"/>
  <c r="J27" i="1"/>
  <c r="M27" i="1" s="1"/>
  <c r="Q41" i="1"/>
  <c r="T41" i="1" s="1"/>
  <c r="Q26" i="1"/>
  <c r="T26" i="1" s="1"/>
  <c r="J28" i="1"/>
  <c r="M28" i="1" s="1"/>
  <c r="I24" i="1"/>
  <c r="I25" i="1"/>
  <c r="I27" i="1"/>
  <c r="AA24" i="1"/>
  <c r="AB24" i="1"/>
  <c r="AB27" i="1"/>
  <c r="Y25" i="1"/>
  <c r="Y37" i="1"/>
  <c r="AB37" i="1" s="1"/>
  <c r="Y26" i="1"/>
  <c r="AB26" i="1" s="1"/>
  <c r="Y41" i="1"/>
  <c r="R36" i="1"/>
  <c r="U36" i="1" s="1"/>
  <c r="R25" i="1"/>
  <c r="R28" i="1"/>
  <c r="R24" i="1"/>
  <c r="R26" i="1"/>
  <c r="R27" i="1"/>
  <c r="K28" i="1"/>
  <c r="J41" i="1"/>
  <c r="I41" i="1"/>
  <c r="L41" i="1" s="1"/>
  <c r="Q36" i="1"/>
  <c r="T36" i="1" s="1"/>
  <c r="J16" i="1"/>
  <c r="I37" i="1"/>
  <c r="L37" i="1" s="1"/>
  <c r="I34" i="1"/>
  <c r="L34" i="1" s="1"/>
  <c r="J33" i="1"/>
  <c r="M33" i="1" s="1"/>
  <c r="I38" i="1"/>
  <c r="L38" i="1" s="1"/>
  <c r="Z32" i="1"/>
  <c r="AC32" i="1" s="1"/>
  <c r="I32" i="1"/>
  <c r="L32" i="1" s="1"/>
  <c r="J35" i="1"/>
  <c r="M35" i="1" s="1"/>
  <c r="J39" i="1"/>
  <c r="M39" i="1" s="1"/>
  <c r="Z33" i="1"/>
  <c r="AC33" i="1" s="1"/>
  <c r="I30" i="1"/>
  <c r="L30" i="1" s="1"/>
  <c r="I40" i="1"/>
  <c r="L40" i="1" s="1"/>
  <c r="Z36" i="1"/>
  <c r="AC36" i="1" s="1"/>
  <c r="J40" i="1"/>
  <c r="M40" i="1" s="1"/>
  <c r="I29" i="1"/>
  <c r="L29" i="1" s="1"/>
  <c r="Z37" i="1"/>
  <c r="AC37" i="1" s="1"/>
  <c r="J29" i="1"/>
  <c r="M29" i="1" s="1"/>
  <c r="J30" i="1"/>
  <c r="M30" i="1" s="1"/>
  <c r="Z35" i="1"/>
  <c r="AC35" i="1" s="1"/>
  <c r="Q37" i="1"/>
  <c r="T37" i="1" s="1"/>
  <c r="J36" i="1"/>
  <c r="M36" i="1" s="1"/>
  <c r="J34" i="1"/>
  <c r="M34" i="1" s="1"/>
  <c r="J37" i="1"/>
  <c r="M37" i="1" s="1"/>
  <c r="Q38" i="1"/>
  <c r="T38" i="1" s="1"/>
  <c r="I33" i="1"/>
  <c r="L33" i="1" s="1"/>
  <c r="I31" i="1"/>
  <c r="L31" i="1" s="1"/>
  <c r="J38" i="1"/>
  <c r="M38" i="1" s="1"/>
  <c r="Z39" i="1"/>
  <c r="AC39" i="1" s="1"/>
  <c r="J32" i="1"/>
  <c r="M32" i="1" s="1"/>
  <c r="I39" i="1"/>
  <c r="L39" i="1" s="1"/>
  <c r="I35" i="1"/>
  <c r="L35" i="1" s="1"/>
  <c r="R34" i="1"/>
  <c r="U34" i="1" s="1"/>
  <c r="Q40" i="1"/>
  <c r="T40" i="1" s="1"/>
  <c r="Z30" i="1"/>
  <c r="AC30" i="1" s="1"/>
  <c r="Z29" i="1"/>
  <c r="AC29" i="1" s="1"/>
  <c r="R32" i="1"/>
  <c r="U32" i="1" s="1"/>
  <c r="Z31" i="1"/>
  <c r="AC31" i="1" s="1"/>
  <c r="Y36" i="1"/>
  <c r="AB36" i="1" s="1"/>
  <c r="Q29" i="1"/>
  <c r="T29" i="1" s="1"/>
  <c r="Y32" i="1"/>
  <c r="AB32" i="1" s="1"/>
  <c r="Z38" i="1"/>
  <c r="AC38" i="1" s="1"/>
  <c r="Z40" i="1"/>
  <c r="AC40" i="1" s="1"/>
  <c r="R33" i="1"/>
  <c r="U33" i="1" s="1"/>
  <c r="Q35" i="1"/>
  <c r="Q30" i="1"/>
  <c r="T30" i="1" s="1"/>
  <c r="Q39" i="1"/>
  <c r="T39" i="1" s="1"/>
  <c r="Y29" i="1"/>
  <c r="AB29" i="1" s="1"/>
  <c r="R37" i="1"/>
  <c r="U37" i="1" s="1"/>
  <c r="R38" i="1"/>
  <c r="U38" i="1" s="1"/>
  <c r="R40" i="1"/>
  <c r="U40" i="1" s="1"/>
  <c r="R31" i="1"/>
  <c r="U31" i="1" s="1"/>
  <c r="R35" i="1"/>
  <c r="U35" i="1" s="1"/>
  <c r="Y30" i="1"/>
  <c r="Q34" i="1"/>
  <c r="T34" i="1" s="1"/>
  <c r="Q31" i="1"/>
  <c r="T31" i="1" s="1"/>
  <c r="Q32" i="1"/>
  <c r="T32" i="1" s="1"/>
  <c r="R39" i="1"/>
  <c r="U39" i="1" s="1"/>
  <c r="Y33" i="1"/>
  <c r="AB33" i="1" s="1"/>
  <c r="Y38" i="1"/>
  <c r="AB38" i="1" s="1"/>
  <c r="Y39" i="1"/>
  <c r="AB39" i="1" s="1"/>
  <c r="Y34" i="1"/>
  <c r="AB34" i="1" s="1"/>
  <c r="Y31" i="1"/>
  <c r="AB31" i="1" s="1"/>
  <c r="Y35" i="1"/>
  <c r="AB35" i="1" s="1"/>
  <c r="Y40" i="1"/>
  <c r="AB40" i="1" s="1"/>
  <c r="R30" i="1"/>
  <c r="U30" i="1" s="1"/>
  <c r="R29" i="1"/>
  <c r="U29" i="1" s="1"/>
  <c r="S41" i="1" l="1"/>
  <c r="K26" i="1"/>
  <c r="AB28" i="1"/>
  <c r="AA27" i="1"/>
  <c r="AC43" i="1"/>
  <c r="L27" i="1"/>
  <c r="K27" i="1"/>
  <c r="L25" i="1"/>
  <c r="K25" i="1"/>
  <c r="AB25" i="1"/>
  <c r="AA25" i="1"/>
  <c r="AA41" i="1"/>
  <c r="AB41" i="1"/>
  <c r="L24" i="1"/>
  <c r="K24" i="1"/>
  <c r="S36" i="1"/>
  <c r="AA26" i="1"/>
  <c r="U24" i="1"/>
  <c r="S24" i="1"/>
  <c r="U28" i="1"/>
  <c r="S28" i="1"/>
  <c r="U26" i="1"/>
  <c r="S26" i="1"/>
  <c r="U25" i="1"/>
  <c r="S25" i="1"/>
  <c r="U27" i="1"/>
  <c r="S27" i="1"/>
  <c r="K41" i="1"/>
  <c r="M41" i="1"/>
  <c r="M43" i="1" s="1"/>
  <c r="K30" i="1"/>
  <c r="AA36" i="1"/>
  <c r="K34" i="1"/>
  <c r="AA37" i="1"/>
  <c r="S32" i="1"/>
  <c r="K32" i="1"/>
  <c r="K39" i="1"/>
  <c r="K40" i="1"/>
  <c r="K29" i="1"/>
  <c r="K35" i="1"/>
  <c r="K38" i="1"/>
  <c r="K36" i="1"/>
  <c r="K31" i="1"/>
  <c r="AA30" i="1"/>
  <c r="AA38" i="1"/>
  <c r="K37" i="1"/>
  <c r="S35" i="1"/>
  <c r="K33" i="1"/>
  <c r="AA32" i="1"/>
  <c r="T35" i="1"/>
  <c r="T43" i="1" s="1"/>
  <c r="AA29" i="1"/>
  <c r="AB30" i="1"/>
  <c r="S33" i="1"/>
  <c r="S30" i="1"/>
  <c r="AA34" i="1"/>
  <c r="S37" i="1"/>
  <c r="S38" i="1"/>
  <c r="S39" i="1"/>
  <c r="AA33" i="1"/>
  <c r="S31" i="1"/>
  <c r="S40" i="1"/>
  <c r="S34" i="1"/>
  <c r="AA40" i="1"/>
  <c r="AA31" i="1"/>
  <c r="AA39" i="1"/>
  <c r="S29" i="1"/>
  <c r="AA35" i="1"/>
  <c r="L43" i="1" l="1"/>
  <c r="S43" i="1"/>
  <c r="AA43" i="1"/>
  <c r="U43" i="1"/>
  <c r="AB43" i="1"/>
  <c r="Z14" i="1" s="1"/>
  <c r="K43" i="1"/>
  <c r="J14" i="1" s="1"/>
  <c r="R14" i="1"/>
</calcChain>
</file>

<file path=xl/sharedStrings.xml><?xml version="1.0" encoding="utf-8"?>
<sst xmlns="http://schemas.openxmlformats.org/spreadsheetml/2006/main" count="446" uniqueCount="142">
  <si>
    <t>Год</t>
  </si>
  <si>
    <t>Xi</t>
  </si>
  <si>
    <t>Yi</t>
  </si>
  <si>
    <t>Xi − X</t>
  </si>
  <si>
    <t>(Yi − Y̅)</t>
  </si>
  <si>
    <t>(Xi − X̅) ∙ (Yi − Y̅)</t>
  </si>
  <si>
    <t>(Xi − X̅) 2</t>
  </si>
  <si>
    <t>(Yi −Y̅) 2</t>
  </si>
  <si>
    <t>КОРРЕЛ</t>
  </si>
  <si>
    <t>Таблица</t>
  </si>
  <si>
    <t>Станд. ошибка оценки</t>
  </si>
  <si>
    <t xml:space="preserve">Станд. Отклонение </t>
  </si>
  <si>
    <t xml:space="preserve">Станд. отклонение </t>
  </si>
  <si>
    <t>Станд. Отклонение</t>
  </si>
  <si>
    <t>Кол-во строк (n)</t>
  </si>
  <si>
    <t>Коэффициент детерминации (R^2)</t>
  </si>
  <si>
    <t>Регрессионная статистика</t>
  </si>
  <si>
    <t>Множественный R</t>
  </si>
  <si>
    <t>R-квадрат</t>
  </si>
  <si>
    <t>Нормированный R-квадрат</t>
  </si>
  <si>
    <t>Стандартная ошибка</t>
  </si>
  <si>
    <t>Наблюдения</t>
  </si>
  <si>
    <t>Дисперсионный анализ</t>
  </si>
  <si>
    <t>Регрессия</t>
  </si>
  <si>
    <t>Остаток</t>
  </si>
  <si>
    <t>Итого</t>
  </si>
  <si>
    <t>Y-пересечение</t>
  </si>
  <si>
    <t>df</t>
  </si>
  <si>
    <t>SS</t>
  </si>
  <si>
    <t>MS</t>
  </si>
  <si>
    <t>F</t>
  </si>
  <si>
    <t>Значимость F</t>
  </si>
  <si>
    <t>Коэффициенты</t>
  </si>
  <si>
    <t>t-статистика</t>
  </si>
  <si>
    <t>P-Значение</t>
  </si>
  <si>
    <t>Нижние 95%</t>
  </si>
  <si>
    <t>Верхние 95%</t>
  </si>
  <si>
    <t>Нижние 95,0%</t>
  </si>
  <si>
    <t>Верхние 95,0%</t>
  </si>
  <si>
    <t>Переменная X 1</t>
  </si>
  <si>
    <t>Объем рынка e-commerce, млрд. руб.</t>
  </si>
  <si>
    <t>Объем инвестиций в основной капитал, направленный на цифровизацию, млн. руб.</t>
  </si>
  <si>
    <t>Пользователи интернета, % на 100 человек</t>
  </si>
  <si>
    <t xml:space="preserve">Доля безналичных платежей, % </t>
  </si>
  <si>
    <t>Таблица 1. E-com - Y, инвестиции - Х.</t>
  </si>
  <si>
    <t>Таблица 2. E-com - Y, доля безналичных - Х.</t>
  </si>
  <si>
    <t>Таблица 3. E-com - Y, пользователи интернета - Х.</t>
  </si>
  <si>
    <t>Корреляционная матрица</t>
  </si>
  <si>
    <t>Связь между переменными</t>
  </si>
  <si>
    <t>Переменная X 2</t>
  </si>
  <si>
    <t>Переменная X 3</t>
  </si>
  <si>
    <t>Выводы:</t>
  </si>
  <si>
    <t>Пошаговый регрессионый анализ</t>
  </si>
  <si>
    <t>ВЫВОД ИТОГОВ</t>
  </si>
  <si>
    <t>ВЫВОД ОСТАТКА</t>
  </si>
  <si>
    <t>Наблюдение</t>
  </si>
  <si>
    <t>Остатки</t>
  </si>
  <si>
    <t>Стандартные остатки</t>
  </si>
  <si>
    <t>Предсказанное Объем рынка e-commerce, млрд. руб.</t>
  </si>
  <si>
    <t>СРЗНАЧ(C4:C15)</t>
  </si>
  <si>
    <t>Среднее значение</t>
  </si>
  <si>
    <t>СТАНДОТКЛОН.В(С4:С15)</t>
  </si>
  <si>
    <t>Среднее квадратическое отклонение</t>
  </si>
  <si>
    <t>С25*КОРЕНЬ(кол-во показателей в выборке)/С19</t>
  </si>
  <si>
    <t>Zнабл</t>
  </si>
  <si>
    <t>НОРМ.СТ.ОБР(1-0,05/2)</t>
  </si>
  <si>
    <t>Zтабл</t>
  </si>
  <si>
    <t>Zнабл&lt;Zтабл</t>
  </si>
  <si>
    <t>Квадраты остатков</t>
  </si>
  <si>
    <t>X1</t>
  </si>
  <si>
    <t>X2</t>
  </si>
  <si>
    <t>X3</t>
  </si>
  <si>
    <t>У</t>
  </si>
  <si>
    <t>Х1</t>
  </si>
  <si>
    <t>Х2</t>
  </si>
  <si>
    <t>(кол-во Y - кол-во центр. Показателей - кол-во Х*1)/(кол-во групп для разделения)</t>
  </si>
  <si>
    <t>F.ОБР.ПХ(0,05;B47;B47)</t>
  </si>
  <si>
    <t>R&lt;F</t>
  </si>
  <si>
    <t>R60/R53</t>
  </si>
  <si>
    <t>Остатки (n-1) со смещением</t>
  </si>
  <si>
    <t>r1</t>
  </si>
  <si>
    <t>t</t>
  </si>
  <si>
    <t>t табл</t>
  </si>
  <si>
    <t>t&lt;=t табл</t>
  </si>
  <si>
    <t>Остатки подчиняются нормальному закону распределения</t>
  </si>
  <si>
    <t>Автокорреляция остатков отсутсвует</t>
  </si>
  <si>
    <t>Гипотеза о нулевой средней величине остатков подтверждается</t>
  </si>
  <si>
    <t>У остатков случайный характер</t>
  </si>
  <si>
    <t>Гипотеза 1: Остатки предсатвляют собой случайные величины</t>
  </si>
  <si>
    <t>Гипотеза 2: У остатков нулевая средняя величина</t>
  </si>
  <si>
    <t>Гипотеза 3: для каждого значения фактора х остатки имеют одинаковыую дисперсию</t>
  </si>
  <si>
    <t>Гипотеза 4: У остатков для каждого значения х отсутсвует автокорреляция</t>
  </si>
  <si>
    <t>Гипотеза 5: Остатки подчиняются нормальному закону распределения</t>
  </si>
  <si>
    <t>Отсутсвует однородность дисперсий</t>
  </si>
  <si>
    <t>Вывод:</t>
  </si>
  <si>
    <t>МНК применим с ограничениями к данным, т. к. у них отсутсвует однородность дисперсий, однако разница между R и F не существенная</t>
  </si>
  <si>
    <t>Объем инвестиций в основной капитал, направленный на цифровизацию, млрд. руб.</t>
  </si>
  <si>
    <t>X2X3</t>
  </si>
  <si>
    <t>Предсказанное Y</t>
  </si>
  <si>
    <t>Х2X3</t>
  </si>
  <si>
    <t>Наибольший разброс квадратов остатков наблюдается с переменной Х2X3</t>
  </si>
  <si>
    <t>X2X3&lt;1836</t>
  </si>
  <si>
    <t>X2X3&gt;3442,539</t>
  </si>
  <si>
    <t>Сортируем по возрастанию Х2X3</t>
  </si>
  <si>
    <t>Предположим, что дисперсия остатков зависит от Х2X3</t>
  </si>
  <si>
    <t>По итогам 1-2 практических работ была получена наилучшая регрессионая модель с Х1,X2 и Х2X3</t>
  </si>
  <si>
    <t>Сдвиг a=-11,3 обозначает, что объем рынка e-commerce при нулевых остальных показателях понизится на 11,3 млрд. руб., что является маловероятным. Коэффициент регрессии по объемам инвестиций на цифровизацию составляет 3,83 , что обозначает, что при увеличении инвестиций на 1 млн. руб. объем рынка e-commerce вырастет на 2,582 млн. руб (остальные показатели не изменяются).  F-статистика равна 59,4953909 с p-value 3,27367E-08, что указывает на то, что регрессионная модель является статистически высоко значимой. Однако t-тест подтверждает значимость переменных X1 и X2</t>
  </si>
  <si>
    <t>Номер периода</t>
  </si>
  <si>
    <t>Объем рынка e-commerce, трлн. руб.</t>
  </si>
  <si>
    <t>Y</t>
  </si>
  <si>
    <t>Мультипликативная</t>
  </si>
  <si>
    <t>Центрированная скользящая</t>
  </si>
  <si>
    <t>Оценка сезонной компоненты</t>
  </si>
  <si>
    <t>-</t>
  </si>
  <si>
    <t>Показатели</t>
  </si>
  <si>
    <t>Номер года</t>
  </si>
  <si>
    <t>Корр. Коэффициент</t>
  </si>
  <si>
    <t>Средняя оценка сезонной компоненты</t>
  </si>
  <si>
    <t>Скорректированное значение сезонной компоненты</t>
  </si>
  <si>
    <t>S</t>
  </si>
  <si>
    <t>Выровненное значение</t>
  </si>
  <si>
    <t>(Y-выровненное значение)^2</t>
  </si>
  <si>
    <t>Выровненное значение*S</t>
  </si>
  <si>
    <t>(Выровненное значение-(Выровненное значение*S))^2</t>
  </si>
  <si>
    <t>Среднее линейное отклонение</t>
  </si>
  <si>
    <t>Среднее кв отклонение</t>
  </si>
  <si>
    <t>Коэффициент колеблемости</t>
  </si>
  <si>
    <t>Коэффициент сезонных колебаний</t>
  </si>
  <si>
    <t>Ранги уровней</t>
  </si>
  <si>
    <t>Ранги периодов</t>
  </si>
  <si>
    <t>Разность рангов уровней и номеров периодов</t>
  </si>
  <si>
    <t>(Разность рангов уровней и номеров периодов)^2</t>
  </si>
  <si>
    <t>Выборка была разделена на 4 периода по 5 лет, чтобы детально рассмотреть максимально возможное количество периодов</t>
  </si>
  <si>
    <t>Итого за 5 лет</t>
  </si>
  <si>
    <t>Скользящая средняя (5 лет)</t>
  </si>
  <si>
    <t>T+S</t>
  </si>
  <si>
    <t>T, y=377,65t-1677,9</t>
  </si>
  <si>
    <t>Устойчивость</t>
  </si>
  <si>
    <t>Коэффициент корреляции рангов Спирмэна</t>
  </si>
  <si>
    <t>ВЫВОД ИТОГОВ для X1</t>
  </si>
  <si>
    <t>ВЫВОД ИТОГОВ для X2</t>
  </si>
  <si>
    <t>ВЫВОД ИТОГОВ для 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</si>
</sst>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204"/>
      <scheme val="minor"/>
    </font>
    <font>
      <sz val="11"/>
      <color theme="1"/>
      <name val="Cambria"/>
      <family val="1"/>
      <charset val="204"/>
    </font>
    <font>
      <b/>
      <sz val="11"/>
      <color theme="1"/>
      <name val="Cambria"/>
      <family val="1"/>
      <charset val="204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charset val="204"/>
      <scheme val="minor"/>
    </font>
    <font>
      <sz val="11"/>
      <color rgb="FF00B05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theme="1"/>
      <name val="Cambria"/>
      <family val="1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charset val="20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theme="1"/>
      </top>
      <bottom style="hair">
        <color indexed="64"/>
      </bottom>
      <diagonal/>
    </border>
    <border>
      <left/>
      <right/>
      <top style="hair">
        <color theme="1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 style="thin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 style="thin">
        <color theme="1"/>
      </top>
      <bottom style="thin">
        <color auto="1"/>
      </bottom>
      <diagonal/>
    </border>
    <border>
      <left/>
      <right/>
      <top style="thin">
        <color theme="1"/>
      </top>
      <bottom style="thin">
        <color auto="1"/>
      </bottom>
      <diagonal/>
    </border>
    <border>
      <left/>
      <right style="thin">
        <color auto="1"/>
      </right>
      <top style="thin">
        <color theme="1"/>
      </top>
      <bottom style="thin">
        <color auto="1"/>
      </bottom>
      <diagonal/>
    </border>
  </borders>
  <cellStyleXfs count="3">
    <xf numFmtId="0" fontId="0" fillId="0" borderId="0"/>
    <xf numFmtId="9" fontId="12" fillId="0" borderId="0" applyFont="0" applyFill="0" applyBorder="0" applyAlignment="0" applyProtection="0"/>
    <xf numFmtId="0" fontId="1" fillId="0" borderId="0"/>
  </cellStyleXfs>
  <cellXfs count="166">
    <xf numFmtId="0" fontId="0" fillId="0" borderId="0" xfId="0"/>
    <xf numFmtId="2" fontId="0" fillId="0" borderId="0" xfId="0" applyNumberFormat="1"/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/>
    <xf numFmtId="2" fontId="2" fillId="3" borderId="1" xfId="0" applyNumberFormat="1" applyFont="1" applyFill="1" applyBorder="1"/>
    <xf numFmtId="0" fontId="0" fillId="3" borderId="1" xfId="0" applyFill="1" applyBorder="1"/>
    <xf numFmtId="0" fontId="4" fillId="2" borderId="1" xfId="0" applyFont="1" applyFill="1" applyBorder="1" applyAlignment="1">
      <alignment horizontal="center"/>
    </xf>
    <xf numFmtId="2" fontId="0" fillId="3" borderId="1" xfId="0" applyNumberFormat="1" applyFill="1" applyBorder="1"/>
    <xf numFmtId="2" fontId="2" fillId="3" borderId="2" xfId="0" applyNumberFormat="1" applyFont="1" applyFill="1" applyBorder="1"/>
    <xf numFmtId="2" fontId="0" fillId="3" borderId="2" xfId="0" applyNumberFormat="1" applyFill="1" applyBorder="1"/>
    <xf numFmtId="0" fontId="0" fillId="3" borderId="2" xfId="0" applyFill="1" applyBorder="1"/>
    <xf numFmtId="2" fontId="0" fillId="2" borderId="3" xfId="0" applyNumberFormat="1" applyFill="1" applyBorder="1"/>
    <xf numFmtId="0" fontId="0" fillId="2" borderId="3" xfId="0" applyFill="1" applyBorder="1"/>
    <xf numFmtId="0" fontId="0" fillId="3" borderId="1" xfId="0" applyFill="1" applyBorder="1" applyAlignment="1">
      <alignment vertical="center"/>
    </xf>
    <xf numFmtId="0" fontId="0" fillId="3" borderId="4" xfId="0" applyFill="1" applyBorder="1" applyAlignment="1">
      <alignment vertical="center"/>
    </xf>
    <xf numFmtId="0" fontId="0" fillId="4" borderId="5" xfId="0" applyFill="1" applyBorder="1" applyAlignment="1">
      <alignment vertical="center" wrapText="1"/>
    </xf>
    <xf numFmtId="0" fontId="0" fillId="4" borderId="6" xfId="0" applyFill="1" applyBorder="1"/>
    <xf numFmtId="0" fontId="0" fillId="4" borderId="7" xfId="0" applyFill="1" applyBorder="1"/>
    <xf numFmtId="0" fontId="0" fillId="4" borderId="8" xfId="0" applyFill="1" applyBorder="1"/>
    <xf numFmtId="0" fontId="0" fillId="4" borderId="9" xfId="0" applyFill="1" applyBorder="1" applyAlignment="1">
      <alignment vertical="center" wrapText="1"/>
    </xf>
    <xf numFmtId="0" fontId="0" fillId="4" borderId="10" xfId="0" applyFill="1" applyBorder="1"/>
    <xf numFmtId="0" fontId="4" fillId="2" borderId="1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 wrapText="1"/>
    </xf>
    <xf numFmtId="0" fontId="4" fillId="2" borderId="4" xfId="0" applyFont="1" applyFill="1" applyBorder="1" applyAlignment="1">
      <alignment vertical="center" wrapText="1"/>
    </xf>
    <xf numFmtId="0" fontId="0" fillId="3" borderId="14" xfId="0" applyFill="1" applyBorder="1"/>
    <xf numFmtId="0" fontId="0" fillId="3" borderId="13" xfId="0" applyFill="1" applyBorder="1"/>
    <xf numFmtId="0" fontId="0" fillId="3" borderId="15" xfId="0" applyFill="1" applyBorder="1"/>
    <xf numFmtId="0" fontId="0" fillId="3" borderId="16" xfId="0" applyFill="1" applyBorder="1"/>
    <xf numFmtId="0" fontId="0" fillId="3" borderId="0" xfId="0" applyFill="1"/>
    <xf numFmtId="0" fontId="0" fillId="3" borderId="17" xfId="0" applyFill="1" applyBorder="1"/>
    <xf numFmtId="0" fontId="5" fillId="3" borderId="18" xfId="0" applyFont="1" applyFill="1" applyBorder="1" applyAlignment="1">
      <alignment horizontal="centerContinuous"/>
    </xf>
    <xf numFmtId="0" fontId="5" fillId="3" borderId="12" xfId="0" applyFont="1" applyFill="1" applyBorder="1" applyAlignment="1">
      <alignment horizontal="centerContinuous"/>
    </xf>
    <xf numFmtId="0" fontId="0" fillId="3" borderId="11" xfId="0" applyFill="1" applyBorder="1"/>
    <xf numFmtId="0" fontId="5" fillId="3" borderId="18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5" fillId="3" borderId="20" xfId="0" applyFont="1" applyFill="1" applyBorder="1" applyAlignment="1">
      <alignment horizontal="center"/>
    </xf>
    <xf numFmtId="0" fontId="0" fillId="3" borderId="21" xfId="0" applyFill="1" applyBorder="1"/>
    <xf numFmtId="0" fontId="0" fillId="3" borderId="1" xfId="0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/>
    <xf numFmtId="0" fontId="4" fillId="0" borderId="0" xfId="0" applyFont="1"/>
    <xf numFmtId="0" fontId="0" fillId="5" borderId="0" xfId="0" applyFill="1"/>
    <xf numFmtId="0" fontId="5" fillId="3" borderId="18" xfId="0" applyFont="1" applyFill="1" applyBorder="1" applyAlignment="1">
      <alignment horizontal="center" wrapText="1"/>
    </xf>
    <xf numFmtId="0" fontId="5" fillId="3" borderId="12" xfId="0" applyFont="1" applyFill="1" applyBorder="1" applyAlignment="1">
      <alignment horizontal="center" wrapText="1"/>
    </xf>
    <xf numFmtId="0" fontId="5" fillId="3" borderId="20" xfId="0" applyFont="1" applyFill="1" applyBorder="1" applyAlignment="1">
      <alignment horizontal="center" wrapText="1"/>
    </xf>
    <xf numFmtId="0" fontId="0" fillId="3" borderId="14" xfId="0" applyFill="1" applyBorder="1" applyAlignment="1">
      <alignment wrapText="1"/>
    </xf>
    <xf numFmtId="0" fontId="0" fillId="3" borderId="13" xfId="0" applyFill="1" applyBorder="1" applyAlignment="1">
      <alignment wrapText="1"/>
    </xf>
    <xf numFmtId="0" fontId="0" fillId="3" borderId="15" xfId="0" applyFill="1" applyBorder="1" applyAlignment="1">
      <alignment wrapText="1"/>
    </xf>
    <xf numFmtId="0" fontId="0" fillId="3" borderId="16" xfId="0" applyFill="1" applyBorder="1" applyAlignment="1">
      <alignment wrapText="1"/>
    </xf>
    <xf numFmtId="0" fontId="0" fillId="3" borderId="17" xfId="0" applyFill="1" applyBorder="1" applyAlignment="1">
      <alignment wrapText="1"/>
    </xf>
    <xf numFmtId="0" fontId="5" fillId="3" borderId="18" xfId="0" applyFont="1" applyFill="1" applyBorder="1" applyAlignment="1">
      <alignment horizontal="centerContinuous" wrapText="1"/>
    </xf>
    <xf numFmtId="0" fontId="5" fillId="3" borderId="12" xfId="0" applyFont="1" applyFill="1" applyBorder="1" applyAlignment="1">
      <alignment horizontal="centerContinuous" wrapText="1"/>
    </xf>
    <xf numFmtId="0" fontId="0" fillId="3" borderId="19" xfId="0" applyFill="1" applyBorder="1" applyAlignment="1">
      <alignment wrapText="1"/>
    </xf>
    <xf numFmtId="0" fontId="0" fillId="3" borderId="11" xfId="0" applyFill="1" applyBorder="1" applyAlignment="1">
      <alignment wrapText="1"/>
    </xf>
    <xf numFmtId="0" fontId="0" fillId="3" borderId="21" xfId="0" applyFill="1" applyBorder="1" applyAlignment="1">
      <alignment wrapText="1"/>
    </xf>
    <xf numFmtId="0" fontId="8" fillId="3" borderId="18" xfId="0" applyFont="1" applyFill="1" applyBorder="1" applyAlignment="1">
      <alignment horizontal="center" wrapText="1"/>
    </xf>
    <xf numFmtId="0" fontId="8" fillId="3" borderId="12" xfId="0" applyFont="1" applyFill="1" applyBorder="1" applyAlignment="1">
      <alignment horizontal="center" wrapText="1"/>
    </xf>
    <xf numFmtId="0" fontId="8" fillId="3" borderId="20" xfId="0" applyFont="1" applyFill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7" borderId="1" xfId="0" applyFill="1" applyBorder="1"/>
    <xf numFmtId="0" fontId="0" fillId="0" borderId="24" xfId="0" applyBorder="1"/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7" fillId="0" borderId="0" xfId="0" applyFont="1" applyAlignment="1">
      <alignment wrapText="1"/>
    </xf>
    <xf numFmtId="0" fontId="10" fillId="0" borderId="0" xfId="0" applyFont="1"/>
    <xf numFmtId="0" fontId="0" fillId="8" borderId="0" xfId="0" applyFill="1"/>
    <xf numFmtId="0" fontId="5" fillId="3" borderId="1" xfId="0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2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1" xfId="0" applyBorder="1"/>
    <xf numFmtId="0" fontId="5" fillId="0" borderId="12" xfId="0" applyFont="1" applyBorder="1" applyAlignment="1">
      <alignment horizontal="center"/>
    </xf>
    <xf numFmtId="0" fontId="0" fillId="3" borderId="19" xfId="0" applyFill="1" applyBorder="1"/>
    <xf numFmtId="0" fontId="8" fillId="3" borderId="31" xfId="0" applyFont="1" applyFill="1" applyBorder="1" applyAlignment="1">
      <alignment horizontal="center" wrapText="1"/>
    </xf>
    <xf numFmtId="0" fontId="0" fillId="4" borderId="1" xfId="0" applyFill="1" applyBorder="1"/>
    <xf numFmtId="0" fontId="9" fillId="0" borderId="0" xfId="0" applyFont="1"/>
    <xf numFmtId="0" fontId="3" fillId="2" borderId="35" xfId="2" applyFont="1" applyFill="1" applyBorder="1" applyAlignment="1">
      <alignment horizontal="center" vertical="center" wrapText="1"/>
    </xf>
    <xf numFmtId="0" fontId="3" fillId="2" borderId="36" xfId="2" applyFont="1" applyFill="1" applyBorder="1" applyAlignment="1">
      <alignment horizontal="center" vertical="center" wrapText="1"/>
    </xf>
    <xf numFmtId="0" fontId="3" fillId="2" borderId="37" xfId="2" applyFont="1" applyFill="1" applyBorder="1" applyAlignment="1">
      <alignment horizontal="center" vertical="center" wrapText="1"/>
    </xf>
    <xf numFmtId="0" fontId="1" fillId="0" borderId="0" xfId="2"/>
    <xf numFmtId="0" fontId="13" fillId="3" borderId="35" xfId="2" applyFont="1" applyFill="1" applyBorder="1" applyAlignment="1">
      <alignment horizontal="center" vertical="center"/>
    </xf>
    <xf numFmtId="0" fontId="3" fillId="3" borderId="36" xfId="2" applyFont="1" applyFill="1" applyBorder="1" applyAlignment="1">
      <alignment horizontal="center" vertical="center"/>
    </xf>
    <xf numFmtId="2" fontId="3" fillId="3" borderId="37" xfId="2" applyNumberFormat="1" applyFont="1" applyFill="1" applyBorder="1" applyAlignment="1">
      <alignment horizontal="center" vertical="center"/>
    </xf>
    <xf numFmtId="0" fontId="1" fillId="3" borderId="38" xfId="2" applyFill="1" applyBorder="1"/>
    <xf numFmtId="0" fontId="1" fillId="3" borderId="1" xfId="2" applyFill="1" applyBorder="1"/>
    <xf numFmtId="2" fontId="2" fillId="3" borderId="1" xfId="2" applyNumberFormat="1" applyFont="1" applyFill="1" applyBorder="1"/>
    <xf numFmtId="0" fontId="1" fillId="3" borderId="2" xfId="2" applyFill="1" applyBorder="1"/>
    <xf numFmtId="2" fontId="2" fillId="3" borderId="2" xfId="2" applyNumberFormat="1" applyFont="1" applyFill="1" applyBorder="1"/>
    <xf numFmtId="0" fontId="3" fillId="2" borderId="1" xfId="2" applyFont="1" applyFill="1" applyBorder="1" applyAlignment="1">
      <alignment horizontal="center" vertical="center" wrapText="1"/>
    </xf>
    <xf numFmtId="0" fontId="13" fillId="3" borderId="2" xfId="2" applyFont="1" applyFill="1" applyBorder="1" applyAlignment="1">
      <alignment horizontal="center" vertical="center" wrapText="1"/>
    </xf>
    <xf numFmtId="0" fontId="3" fillId="3" borderId="2" xfId="2" applyFont="1" applyFill="1" applyBorder="1" applyAlignment="1">
      <alignment horizontal="center" vertical="center" wrapText="1"/>
    </xf>
    <xf numFmtId="2" fontId="3" fillId="3" borderId="2" xfId="2" applyNumberFormat="1" applyFont="1" applyFill="1" applyBorder="1" applyAlignment="1">
      <alignment horizontal="center" vertical="center" wrapText="1"/>
    </xf>
    <xf numFmtId="0" fontId="1" fillId="3" borderId="2" xfId="2" applyFill="1" applyBorder="1" applyAlignment="1">
      <alignment horizontal="center" vertical="center" wrapText="1"/>
    </xf>
    <xf numFmtId="0" fontId="1" fillId="3" borderId="3" xfId="2" applyFill="1" applyBorder="1"/>
    <xf numFmtId="2" fontId="1" fillId="3" borderId="1" xfId="2" applyNumberFormat="1" applyFill="1" applyBorder="1"/>
    <xf numFmtId="0" fontId="1" fillId="3" borderId="23" xfId="2" applyFill="1" applyBorder="1"/>
    <xf numFmtId="2" fontId="1" fillId="3" borderId="2" xfId="2" applyNumberFormat="1" applyFill="1" applyBorder="1"/>
    <xf numFmtId="0" fontId="1" fillId="3" borderId="40" xfId="2" applyFill="1" applyBorder="1"/>
    <xf numFmtId="2" fontId="1" fillId="3" borderId="3" xfId="2" applyNumberFormat="1" applyFill="1" applyBorder="1"/>
    <xf numFmtId="0" fontId="1" fillId="3" borderId="30" xfId="2" applyFill="1" applyBorder="1"/>
    <xf numFmtId="0" fontId="1" fillId="2" borderId="1" xfId="2" applyFill="1" applyBorder="1" applyAlignment="1">
      <alignment horizontal="center" vertical="center" wrapText="1"/>
    </xf>
    <xf numFmtId="0" fontId="1" fillId="3" borderId="1" xfId="2" applyFill="1" applyBorder="1" applyAlignment="1">
      <alignment horizontal="center" vertical="center" wrapText="1"/>
    </xf>
    <xf numFmtId="0" fontId="1" fillId="2" borderId="1" xfId="2" applyFill="1" applyBorder="1" applyAlignment="1">
      <alignment wrapText="1"/>
    </xf>
    <xf numFmtId="0" fontId="1" fillId="3" borderId="1" xfId="2" applyFill="1" applyBorder="1" applyAlignment="1">
      <alignment horizontal="center" vertical="center"/>
    </xf>
    <xf numFmtId="0" fontId="13" fillId="2" borderId="2" xfId="2" applyFont="1" applyFill="1" applyBorder="1" applyAlignment="1">
      <alignment horizontal="center" vertical="center" wrapText="1"/>
    </xf>
    <xf numFmtId="2" fontId="3" fillId="2" borderId="2" xfId="2" applyNumberFormat="1" applyFont="1" applyFill="1" applyBorder="1" applyAlignment="1">
      <alignment horizontal="center" vertical="center" wrapText="1"/>
    </xf>
    <xf numFmtId="2" fontId="3" fillId="2" borderId="4" xfId="2" applyNumberFormat="1" applyFont="1" applyFill="1" applyBorder="1" applyAlignment="1">
      <alignment horizontal="center" vertical="center" wrapText="1"/>
    </xf>
    <xf numFmtId="2" fontId="2" fillId="3" borderId="3" xfId="2" applyNumberFormat="1" applyFont="1" applyFill="1" applyBorder="1"/>
    <xf numFmtId="0" fontId="13" fillId="2" borderId="4" xfId="2" applyFont="1" applyFill="1" applyBorder="1" applyAlignment="1">
      <alignment horizontal="center" vertical="center" wrapText="1"/>
    </xf>
    <xf numFmtId="0" fontId="2" fillId="3" borderId="34" xfId="0" applyFont="1" applyFill="1" applyBorder="1"/>
    <xf numFmtId="0" fontId="2" fillId="3" borderId="32" xfId="0" applyFont="1" applyFill="1" applyBorder="1"/>
    <xf numFmtId="2" fontId="2" fillId="3" borderId="3" xfId="0" applyNumberFormat="1" applyFont="1" applyFill="1" applyBorder="1"/>
    <xf numFmtId="0" fontId="2" fillId="3" borderId="33" xfId="0" applyFont="1" applyFill="1" applyBorder="1"/>
    <xf numFmtId="2" fontId="2" fillId="3" borderId="38" xfId="0" applyNumberFormat="1" applyFont="1" applyFill="1" applyBorder="1"/>
    <xf numFmtId="0" fontId="2" fillId="3" borderId="41" xfId="0" applyFont="1" applyFill="1" applyBorder="1"/>
    <xf numFmtId="2" fontId="2" fillId="3" borderId="23" xfId="0" applyNumberFormat="1" applyFont="1" applyFill="1" applyBorder="1"/>
    <xf numFmtId="2" fontId="2" fillId="3" borderId="40" xfId="0" applyNumberFormat="1" applyFont="1" applyFill="1" applyBorder="1"/>
    <xf numFmtId="2" fontId="2" fillId="3" borderId="29" xfId="0" applyNumberFormat="1" applyFont="1" applyFill="1" applyBorder="1"/>
    <xf numFmtId="2" fontId="2" fillId="3" borderId="30" xfId="0" applyNumberFormat="1" applyFont="1" applyFill="1" applyBorder="1"/>
    <xf numFmtId="2" fontId="2" fillId="3" borderId="39" xfId="2" applyNumberFormat="1" applyFont="1" applyFill="1" applyBorder="1"/>
    <xf numFmtId="2" fontId="2" fillId="3" borderId="4" xfId="2" applyNumberFormat="1" applyFont="1" applyFill="1" applyBorder="1"/>
    <xf numFmtId="9" fontId="1" fillId="3" borderId="1" xfId="1" applyFont="1" applyFill="1" applyBorder="1"/>
    <xf numFmtId="9" fontId="1" fillId="3" borderId="1" xfId="2" applyNumberFormat="1" applyFill="1" applyBorder="1"/>
    <xf numFmtId="0" fontId="2" fillId="3" borderId="3" xfId="0" applyFont="1" applyFill="1" applyBorder="1"/>
    <xf numFmtId="0" fontId="4" fillId="3" borderId="42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3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6" borderId="11" xfId="0" applyFill="1" applyBorder="1" applyAlignment="1">
      <alignment wrapText="1"/>
    </xf>
    <xf numFmtId="0" fontId="0" fillId="5" borderId="11" xfId="0" applyFill="1" applyBorder="1" applyAlignment="1">
      <alignment wrapText="1"/>
    </xf>
    <xf numFmtId="0" fontId="0" fillId="6" borderId="0" xfId="0" applyFill="1" applyAlignment="1">
      <alignment wrapText="1"/>
    </xf>
    <xf numFmtId="0" fontId="1" fillId="9" borderId="1" xfId="2" applyFill="1" applyBorder="1"/>
    <xf numFmtId="2" fontId="1" fillId="9" borderId="1" xfId="2" applyNumberFormat="1" applyFill="1" applyBorder="1"/>
    <xf numFmtId="0" fontId="4" fillId="2" borderId="43" xfId="0" applyFont="1" applyFill="1" applyBorder="1" applyAlignment="1">
      <alignment horizontal="center" wrapText="1"/>
    </xf>
    <xf numFmtId="0" fontId="4" fillId="2" borderId="44" xfId="0" applyFont="1" applyFill="1" applyBorder="1" applyAlignment="1">
      <alignment horizontal="center" wrapText="1"/>
    </xf>
    <xf numFmtId="0" fontId="4" fillId="2" borderId="45" xfId="0" applyFont="1" applyFill="1" applyBorder="1" applyAlignment="1">
      <alignment horizontal="center" wrapText="1"/>
    </xf>
    <xf numFmtId="0" fontId="4" fillId="2" borderId="23" xfId="0" applyFont="1" applyFill="1" applyBorder="1" applyAlignment="1">
      <alignment horizontal="center" wrapText="1"/>
    </xf>
    <xf numFmtId="0" fontId="4" fillId="2" borderId="22" xfId="0" applyFont="1" applyFill="1" applyBorder="1" applyAlignment="1">
      <alignment horizontal="center" wrapText="1"/>
    </xf>
    <xf numFmtId="0" fontId="4" fillId="2" borderId="34" xfId="0" applyFont="1" applyFill="1" applyBorder="1" applyAlignment="1">
      <alignment horizontal="center" wrapText="1"/>
    </xf>
    <xf numFmtId="0" fontId="0" fillId="0" borderId="25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0" fillId="3" borderId="23" xfId="0" applyFill="1" applyBorder="1" applyAlignment="1">
      <alignment horizontal="center"/>
    </xf>
    <xf numFmtId="0" fontId="0" fillId="3" borderId="22" xfId="0" applyFill="1" applyBorder="1" applyAlignment="1">
      <alignment horizontal="center"/>
    </xf>
    <xf numFmtId="0" fontId="0" fillId="3" borderId="34" xfId="0" applyFill="1" applyBorder="1" applyAlignment="1">
      <alignment horizontal="center"/>
    </xf>
    <xf numFmtId="0" fontId="7" fillId="5" borderId="0" xfId="0" applyFont="1" applyFill="1" applyAlignment="1">
      <alignment horizontal="center"/>
    </xf>
    <xf numFmtId="0" fontId="7" fillId="8" borderId="0" xfId="0" applyFont="1" applyFill="1" applyAlignment="1">
      <alignment horizontal="center"/>
    </xf>
    <xf numFmtId="0" fontId="7" fillId="5" borderId="0" xfId="0" applyFont="1" applyFill="1" applyAlignment="1">
      <alignment horizontal="center" vertical="center"/>
    </xf>
    <xf numFmtId="0" fontId="11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1" fillId="2" borderId="1" xfId="2" applyFill="1" applyBorder="1" applyAlignment="1">
      <alignment horizontal="center" vertical="center" wrapText="1"/>
    </xf>
    <xf numFmtId="0" fontId="1" fillId="2" borderId="30" xfId="2" applyFill="1" applyBorder="1" applyAlignment="1">
      <alignment horizontal="center" vertical="center" wrapText="1"/>
    </xf>
    <xf numFmtId="0" fontId="1" fillId="2" borderId="31" xfId="2" applyFill="1" applyBorder="1" applyAlignment="1">
      <alignment horizontal="center" vertical="center" wrapText="1"/>
    </xf>
    <xf numFmtId="0" fontId="1" fillId="3" borderId="1" xfId="2" applyFill="1" applyBorder="1" applyAlignment="1">
      <alignment horizontal="center" wrapText="1"/>
    </xf>
    <xf numFmtId="0" fontId="7" fillId="2" borderId="0" xfId="2" applyFont="1" applyFill="1" applyAlignment="1">
      <alignment horizontal="center"/>
    </xf>
  </cellXfs>
  <cellStyles count="3">
    <cellStyle name="Обычный" xfId="0" builtinId="0"/>
    <cellStyle name="Обычный 2" xfId="2" xr:uid="{63788774-B368-D941-97ED-99A48A13B9E3}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Диаграмма</a:t>
            </a:r>
            <a:r>
              <a:rPr lang="ru-RU" baseline="0"/>
              <a:t> рассеяния 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'Корреляционный анализ'!$E$1</c:f>
              <c:strCache>
                <c:ptCount val="1"/>
                <c:pt idx="0">
                  <c:v>Объем рынка e-commerce, млрд. руб.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'Корреляционный анализ'!$D$2:$D$19</c:f>
              <c:numCache>
                <c:formatCode>0.00</c:formatCode>
                <c:ptCount val="18"/>
                <c:pt idx="0">
                  <c:v>17.57</c:v>
                </c:pt>
                <c:pt idx="1">
                  <c:v>24.6</c:v>
                </c:pt>
                <c:pt idx="2">
                  <c:v>28.1</c:v>
                </c:pt>
                <c:pt idx="3">
                  <c:v>29.6</c:v>
                </c:pt>
                <c:pt idx="4">
                  <c:v>39.9</c:v>
                </c:pt>
                <c:pt idx="5">
                  <c:v>58</c:v>
                </c:pt>
                <c:pt idx="6">
                  <c:v>66</c:v>
                </c:pt>
                <c:pt idx="7">
                  <c:v>68</c:v>
                </c:pt>
                <c:pt idx="8">
                  <c:v>71</c:v>
                </c:pt>
                <c:pt idx="9">
                  <c:v>70.099999999999994</c:v>
                </c:pt>
                <c:pt idx="10">
                  <c:v>73.09</c:v>
                </c:pt>
                <c:pt idx="11">
                  <c:v>76.010000000000005</c:v>
                </c:pt>
                <c:pt idx="12">
                  <c:v>80.86</c:v>
                </c:pt>
                <c:pt idx="13">
                  <c:v>82.64</c:v>
                </c:pt>
                <c:pt idx="14">
                  <c:v>84.99</c:v>
                </c:pt>
                <c:pt idx="15">
                  <c:v>89</c:v>
                </c:pt>
                <c:pt idx="16">
                  <c:v>88.2</c:v>
                </c:pt>
                <c:pt idx="17">
                  <c:v>89.2</c:v>
                </c:pt>
              </c:numCache>
            </c:numRef>
          </c:xVal>
          <c:yVal>
            <c:numRef>
              <c:f>'Корреляционный анализ'!$E$2:$E$19</c:f>
              <c:numCache>
                <c:formatCode>0.00</c:formatCode>
                <c:ptCount val="18"/>
                <c:pt idx="0">
                  <c:v>29.3</c:v>
                </c:pt>
                <c:pt idx="1">
                  <c:v>95.35</c:v>
                </c:pt>
                <c:pt idx="2">
                  <c:v>128.31</c:v>
                </c:pt>
                <c:pt idx="3">
                  <c:v>150</c:v>
                </c:pt>
                <c:pt idx="4">
                  <c:v>260</c:v>
                </c:pt>
                <c:pt idx="5">
                  <c:v>330</c:v>
                </c:pt>
                <c:pt idx="6">
                  <c:v>405</c:v>
                </c:pt>
                <c:pt idx="7">
                  <c:v>544</c:v>
                </c:pt>
                <c:pt idx="8">
                  <c:v>713</c:v>
                </c:pt>
                <c:pt idx="9">
                  <c:v>760</c:v>
                </c:pt>
                <c:pt idx="10">
                  <c:v>920</c:v>
                </c:pt>
                <c:pt idx="11">
                  <c:v>1040</c:v>
                </c:pt>
                <c:pt idx="12">
                  <c:v>1657</c:v>
                </c:pt>
                <c:pt idx="13">
                  <c:v>2032</c:v>
                </c:pt>
                <c:pt idx="14">
                  <c:v>3221</c:v>
                </c:pt>
                <c:pt idx="15">
                  <c:v>3921</c:v>
                </c:pt>
                <c:pt idx="16">
                  <c:v>4986</c:v>
                </c:pt>
                <c:pt idx="17">
                  <c:v>6359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1D6-F34A-8A5D-461D17E0ED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6095471"/>
        <c:axId val="1135963407"/>
      </c:scatterChart>
      <c:valAx>
        <c:axId val="11360954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35963407"/>
        <c:crosses val="autoZero"/>
        <c:crossBetween val="midCat"/>
      </c:valAx>
      <c:valAx>
        <c:axId val="1135963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360954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Диаграмма рассеяния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'Корреляционный анализ'!$C$2:$C$19</c:f>
              <c:numCache>
                <c:formatCode>0.00</c:formatCode>
                <c:ptCount val="18"/>
                <c:pt idx="0">
                  <c:v>3.25</c:v>
                </c:pt>
                <c:pt idx="1">
                  <c:v>5</c:v>
                </c:pt>
                <c:pt idx="2">
                  <c:v>9</c:v>
                </c:pt>
                <c:pt idx="3">
                  <c:v>9.3000000000000007</c:v>
                </c:pt>
                <c:pt idx="4">
                  <c:v>11</c:v>
                </c:pt>
                <c:pt idx="5">
                  <c:v>18.7</c:v>
                </c:pt>
                <c:pt idx="6">
                  <c:v>23.3</c:v>
                </c:pt>
                <c:pt idx="7">
                  <c:v>27</c:v>
                </c:pt>
                <c:pt idx="8">
                  <c:v>33.1</c:v>
                </c:pt>
                <c:pt idx="9">
                  <c:v>39.700000000000003</c:v>
                </c:pt>
                <c:pt idx="10">
                  <c:v>47.1</c:v>
                </c:pt>
                <c:pt idx="11">
                  <c:v>57.7</c:v>
                </c:pt>
                <c:pt idx="12">
                  <c:v>64.5</c:v>
                </c:pt>
                <c:pt idx="13">
                  <c:v>64.7</c:v>
                </c:pt>
                <c:pt idx="14">
                  <c:v>70.3</c:v>
                </c:pt>
                <c:pt idx="15">
                  <c:v>74</c:v>
                </c:pt>
                <c:pt idx="16">
                  <c:v>77.7</c:v>
                </c:pt>
                <c:pt idx="17">
                  <c:v>83.4</c:v>
                </c:pt>
              </c:numCache>
            </c:numRef>
          </c:xVal>
          <c:yVal>
            <c:numRef>
              <c:f>'Корреляционный анализ'!$E$2:$E$19</c:f>
              <c:numCache>
                <c:formatCode>0.00</c:formatCode>
                <c:ptCount val="18"/>
                <c:pt idx="0">
                  <c:v>29.3</c:v>
                </c:pt>
                <c:pt idx="1">
                  <c:v>95.35</c:v>
                </c:pt>
                <c:pt idx="2">
                  <c:v>128.31</c:v>
                </c:pt>
                <c:pt idx="3">
                  <c:v>150</c:v>
                </c:pt>
                <c:pt idx="4">
                  <c:v>260</c:v>
                </c:pt>
                <c:pt idx="5">
                  <c:v>330</c:v>
                </c:pt>
                <c:pt idx="6">
                  <c:v>405</c:v>
                </c:pt>
                <c:pt idx="7">
                  <c:v>544</c:v>
                </c:pt>
                <c:pt idx="8">
                  <c:v>713</c:v>
                </c:pt>
                <c:pt idx="9">
                  <c:v>760</c:v>
                </c:pt>
                <c:pt idx="10">
                  <c:v>920</c:v>
                </c:pt>
                <c:pt idx="11">
                  <c:v>1040</c:v>
                </c:pt>
                <c:pt idx="12">
                  <c:v>1657</c:v>
                </c:pt>
                <c:pt idx="13">
                  <c:v>2032</c:v>
                </c:pt>
                <c:pt idx="14">
                  <c:v>3221</c:v>
                </c:pt>
                <c:pt idx="15">
                  <c:v>3921</c:v>
                </c:pt>
                <c:pt idx="16">
                  <c:v>4986</c:v>
                </c:pt>
                <c:pt idx="17">
                  <c:v>6359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D0C-894D-B51C-43F487EA2B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3187983"/>
        <c:axId val="1123189711"/>
      </c:scatterChart>
      <c:valAx>
        <c:axId val="11231879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23189711"/>
        <c:crosses val="autoZero"/>
        <c:crossBetween val="midCat"/>
      </c:valAx>
      <c:valAx>
        <c:axId val="1123189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231879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Диаграмма</a:t>
            </a:r>
            <a:r>
              <a:rPr lang="ru-RU" baseline="0"/>
              <a:t> рассеяния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'Корреляционный анализ'!$B$2:$B$19</c:f>
              <c:numCache>
                <c:formatCode>0.00</c:formatCode>
                <c:ptCount val="18"/>
                <c:pt idx="0">
                  <c:v>100</c:v>
                </c:pt>
                <c:pt idx="1">
                  <c:v>135.4</c:v>
                </c:pt>
                <c:pt idx="2">
                  <c:v>150</c:v>
                </c:pt>
                <c:pt idx="3">
                  <c:v>158.34</c:v>
                </c:pt>
                <c:pt idx="4">
                  <c:v>170.255</c:v>
                </c:pt>
                <c:pt idx="5">
                  <c:v>248.64</c:v>
                </c:pt>
                <c:pt idx="6">
                  <c:v>293.66000000000003</c:v>
                </c:pt>
                <c:pt idx="7">
                  <c:v>283.42</c:v>
                </c:pt>
                <c:pt idx="8">
                  <c:v>292.14999999999998</c:v>
                </c:pt>
                <c:pt idx="9">
                  <c:v>304.98</c:v>
                </c:pt>
                <c:pt idx="10">
                  <c:v>284.67</c:v>
                </c:pt>
                <c:pt idx="11">
                  <c:v>389.6</c:v>
                </c:pt>
                <c:pt idx="12">
                  <c:v>484</c:v>
                </c:pt>
                <c:pt idx="13">
                  <c:v>61.77</c:v>
                </c:pt>
                <c:pt idx="14">
                  <c:v>728.51</c:v>
                </c:pt>
                <c:pt idx="15">
                  <c:v>756.22</c:v>
                </c:pt>
                <c:pt idx="16">
                  <c:v>822.2</c:v>
                </c:pt>
                <c:pt idx="17">
                  <c:v>1161.5999999999999</c:v>
                </c:pt>
              </c:numCache>
            </c:numRef>
          </c:xVal>
          <c:yVal>
            <c:numRef>
              <c:f>'Корреляционный анализ'!$E$2:$E$19</c:f>
              <c:numCache>
                <c:formatCode>0.00</c:formatCode>
                <c:ptCount val="18"/>
                <c:pt idx="0">
                  <c:v>29.3</c:v>
                </c:pt>
                <c:pt idx="1">
                  <c:v>95.35</c:v>
                </c:pt>
                <c:pt idx="2">
                  <c:v>128.31</c:v>
                </c:pt>
                <c:pt idx="3">
                  <c:v>150</c:v>
                </c:pt>
                <c:pt idx="4">
                  <c:v>260</c:v>
                </c:pt>
                <c:pt idx="5">
                  <c:v>330</c:v>
                </c:pt>
                <c:pt idx="6">
                  <c:v>405</c:v>
                </c:pt>
                <c:pt idx="7">
                  <c:v>544</c:v>
                </c:pt>
                <c:pt idx="8">
                  <c:v>713</c:v>
                </c:pt>
                <c:pt idx="9">
                  <c:v>760</c:v>
                </c:pt>
                <c:pt idx="10">
                  <c:v>920</c:v>
                </c:pt>
                <c:pt idx="11">
                  <c:v>1040</c:v>
                </c:pt>
                <c:pt idx="12">
                  <c:v>1657</c:v>
                </c:pt>
                <c:pt idx="13">
                  <c:v>2032</c:v>
                </c:pt>
                <c:pt idx="14">
                  <c:v>3221</c:v>
                </c:pt>
                <c:pt idx="15">
                  <c:v>3921</c:v>
                </c:pt>
                <c:pt idx="16">
                  <c:v>4986</c:v>
                </c:pt>
                <c:pt idx="17">
                  <c:v>6359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1CF-7547-A745-B092EA78B5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2012815"/>
        <c:axId val="1762015711"/>
      </c:scatterChart>
      <c:valAx>
        <c:axId val="17620128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62015711"/>
        <c:crosses val="autoZero"/>
        <c:crossBetween val="midCat"/>
      </c:valAx>
      <c:valAx>
        <c:axId val="1762015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620128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'Проверка гипотез'!$C$49</c:f>
              <c:strCache>
                <c:ptCount val="1"/>
                <c:pt idx="0">
                  <c:v>Остатки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'Проверка гипотез'!$B$50:$B$67</c:f>
              <c:numCache>
                <c:formatCode>General</c:formatCode>
                <c:ptCount val="18"/>
                <c:pt idx="0">
                  <c:v>353.40233827185591</c:v>
                </c:pt>
                <c:pt idx="1">
                  <c:v>266.49124165575546</c:v>
                </c:pt>
                <c:pt idx="2">
                  <c:v>-143.91526963770656</c:v>
                </c:pt>
                <c:pt idx="3">
                  <c:v>-125.99512407556854</c:v>
                </c:pt>
                <c:pt idx="4">
                  <c:v>-19.392546801842716</c:v>
                </c:pt>
                <c:pt idx="5">
                  <c:v>287.49141047187027</c:v>
                </c:pt>
                <c:pt idx="6">
                  <c:v>632.69807187372237</c:v>
                </c:pt>
                <c:pt idx="7">
                  <c:v>634.33573816601654</c:v>
                </c:pt>
                <c:pt idx="8">
                  <c:v>754.48018254049146</c:v>
                </c:pt>
                <c:pt idx="9">
                  <c:v>588.62084252222735</c:v>
                </c:pt>
                <c:pt idx="10">
                  <c:v>747.99239427821885</c:v>
                </c:pt>
                <c:pt idx="11">
                  <c:v>1297.1985728984941</c:v>
                </c:pt>
                <c:pt idx="12">
                  <c:v>2268.6844081350182</c:v>
                </c:pt>
                <c:pt idx="13">
                  <c:v>1531.0150246883832</c:v>
                </c:pt>
                <c:pt idx="14">
                  <c:v>3621.9477849506857</c:v>
                </c:pt>
                <c:pt idx="15">
                  <c:v>4486.9556377664348</c:v>
                </c:pt>
                <c:pt idx="16">
                  <c:v>4596.7250677919719</c:v>
                </c:pt>
                <c:pt idx="17">
                  <c:v>5772.2242245040006</c:v>
                </c:pt>
              </c:numCache>
            </c:numRef>
          </c:xVal>
          <c:yVal>
            <c:numRef>
              <c:f>'Проверка гипотез'!$C$50:$C$67</c:f>
              <c:numCache>
                <c:formatCode>General</c:formatCode>
                <c:ptCount val="18"/>
                <c:pt idx="0">
                  <c:v>-324.1023382718559</c:v>
                </c:pt>
                <c:pt idx="1">
                  <c:v>-171.14124165575546</c:v>
                </c:pt>
                <c:pt idx="2">
                  <c:v>272.22526963770656</c:v>
                </c:pt>
                <c:pt idx="3">
                  <c:v>275.99512407556853</c:v>
                </c:pt>
                <c:pt idx="4">
                  <c:v>279.39254680184274</c:v>
                </c:pt>
                <c:pt idx="5">
                  <c:v>42.508589528129733</c:v>
                </c:pt>
                <c:pt idx="6">
                  <c:v>-227.69807187372237</c:v>
                </c:pt>
                <c:pt idx="7">
                  <c:v>-90.33573816601654</c:v>
                </c:pt>
                <c:pt idx="8">
                  <c:v>-41.480182540491455</c:v>
                </c:pt>
                <c:pt idx="9">
                  <c:v>171.37915747777265</c:v>
                </c:pt>
                <c:pt idx="10">
                  <c:v>172.00760572178115</c:v>
                </c:pt>
                <c:pt idx="11">
                  <c:v>-257.19857289849415</c:v>
                </c:pt>
                <c:pt idx="12">
                  <c:v>-611.6844081350182</c:v>
                </c:pt>
                <c:pt idx="13">
                  <c:v>500.98497531161684</c:v>
                </c:pt>
                <c:pt idx="14">
                  <c:v>-400.94778495068567</c:v>
                </c:pt>
                <c:pt idx="15">
                  <c:v>-565.95563776643485</c:v>
                </c:pt>
                <c:pt idx="16">
                  <c:v>389.27493220802808</c:v>
                </c:pt>
                <c:pt idx="17">
                  <c:v>586.77577549599937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F22-1E4B-A774-B594559D81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4482544"/>
        <c:axId val="644484272"/>
      </c:scatterChart>
      <c:valAx>
        <c:axId val="6444825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44484272"/>
        <c:crosses val="autoZero"/>
        <c:crossBetween val="midCat"/>
      </c:valAx>
      <c:valAx>
        <c:axId val="644484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444825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'Проверка гипотез'!$U$26</c:f>
              <c:strCache>
                <c:ptCount val="1"/>
                <c:pt idx="0">
                  <c:v>X1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'Проверка гипотез'!$T$27:$T$44</c:f>
              <c:numCache>
                <c:formatCode>General</c:formatCode>
                <c:ptCount val="18"/>
                <c:pt idx="0">
                  <c:v>105042.3256732845</c:v>
                </c:pt>
                <c:pt idx="1">
                  <c:v>29289.324595473689</c:v>
                </c:pt>
                <c:pt idx="2">
                  <c:v>74106.597429322035</c:v>
                </c:pt>
                <c:pt idx="3">
                  <c:v>76173.30851348846</c:v>
                </c:pt>
                <c:pt idx="4">
                  <c:v>78060.195208419886</c:v>
                </c:pt>
                <c:pt idx="5">
                  <c:v>1806.9801836710208</c:v>
                </c:pt>
                <c:pt idx="6">
                  <c:v>51846.411935010838</c:v>
                </c:pt>
                <c:pt idx="7">
                  <c:v>8160.5455899990975</c:v>
                </c:pt>
                <c:pt idx="8">
                  <c:v>1720.6055435924923</c:v>
                </c:pt>
                <c:pt idx="9">
                  <c:v>29370.815617791199</c:v>
                </c:pt>
                <c:pt idx="10">
                  <c:v>29586.616426139717</c:v>
                </c:pt>
                <c:pt idx="11">
                  <c:v>66151.105901022005</c:v>
                </c:pt>
                <c:pt idx="12">
                  <c:v>374157.81515548751</c:v>
                </c:pt>
                <c:pt idx="13">
                  <c:v>250985.94548798134</c:v>
                </c:pt>
                <c:pt idx="14">
                  <c:v>160759.12625686129</c:v>
                </c:pt>
                <c:pt idx="15">
                  <c:v>320305.783919612</c:v>
                </c:pt>
                <c:pt idx="16">
                  <c:v>151534.97284556486</c:v>
                </c:pt>
                <c:pt idx="17">
                  <c:v>344305.81070893147</c:v>
                </c:pt>
              </c:numCache>
            </c:numRef>
          </c:xVal>
          <c:yVal>
            <c:numRef>
              <c:f>'Проверка гипотез'!$U$27:$U$44</c:f>
              <c:numCache>
                <c:formatCode>General</c:formatCode>
                <c:ptCount val="18"/>
                <c:pt idx="0">
                  <c:v>100</c:v>
                </c:pt>
                <c:pt idx="1">
                  <c:v>135.4</c:v>
                </c:pt>
                <c:pt idx="2">
                  <c:v>150</c:v>
                </c:pt>
                <c:pt idx="3">
                  <c:v>158.34</c:v>
                </c:pt>
                <c:pt idx="4">
                  <c:v>170.255</c:v>
                </c:pt>
                <c:pt idx="5">
                  <c:v>248.64</c:v>
                </c:pt>
                <c:pt idx="6">
                  <c:v>293.66000000000003</c:v>
                </c:pt>
                <c:pt idx="7">
                  <c:v>283.42</c:v>
                </c:pt>
                <c:pt idx="8">
                  <c:v>292.14999999999998</c:v>
                </c:pt>
                <c:pt idx="9">
                  <c:v>304.98</c:v>
                </c:pt>
                <c:pt idx="10">
                  <c:v>284.67</c:v>
                </c:pt>
                <c:pt idx="11">
                  <c:v>389.6</c:v>
                </c:pt>
                <c:pt idx="12">
                  <c:v>484</c:v>
                </c:pt>
                <c:pt idx="13">
                  <c:v>61.77</c:v>
                </c:pt>
                <c:pt idx="14">
                  <c:v>728.51</c:v>
                </c:pt>
                <c:pt idx="15">
                  <c:v>756.22</c:v>
                </c:pt>
                <c:pt idx="16">
                  <c:v>822.2</c:v>
                </c:pt>
                <c:pt idx="17">
                  <c:v>1161.5999999999999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24B-2547-B996-95D580F6E0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5128048"/>
        <c:axId val="1455078192"/>
      </c:scatterChart>
      <c:valAx>
        <c:axId val="1455128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55078192"/>
        <c:crosses val="autoZero"/>
        <c:crossBetween val="midCat"/>
      </c:valAx>
      <c:valAx>
        <c:axId val="1455078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551280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'Проверка гипотез'!$V$26</c:f>
              <c:strCache>
                <c:ptCount val="1"/>
                <c:pt idx="0">
                  <c:v>X2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'Проверка гипотез'!$T$27:$T$44</c:f>
              <c:numCache>
                <c:formatCode>General</c:formatCode>
                <c:ptCount val="18"/>
                <c:pt idx="0">
                  <c:v>105042.3256732845</c:v>
                </c:pt>
                <c:pt idx="1">
                  <c:v>29289.324595473689</c:v>
                </c:pt>
                <c:pt idx="2">
                  <c:v>74106.597429322035</c:v>
                </c:pt>
                <c:pt idx="3">
                  <c:v>76173.30851348846</c:v>
                </c:pt>
                <c:pt idx="4">
                  <c:v>78060.195208419886</c:v>
                </c:pt>
                <c:pt idx="5">
                  <c:v>1806.9801836710208</c:v>
                </c:pt>
                <c:pt idx="6">
                  <c:v>51846.411935010838</c:v>
                </c:pt>
                <c:pt idx="7">
                  <c:v>8160.5455899990975</c:v>
                </c:pt>
                <c:pt idx="8">
                  <c:v>1720.6055435924923</c:v>
                </c:pt>
                <c:pt idx="9">
                  <c:v>29370.815617791199</c:v>
                </c:pt>
                <c:pt idx="10">
                  <c:v>29586.616426139717</c:v>
                </c:pt>
                <c:pt idx="11">
                  <c:v>66151.105901022005</c:v>
                </c:pt>
                <c:pt idx="12">
                  <c:v>374157.81515548751</c:v>
                </c:pt>
                <c:pt idx="13">
                  <c:v>250985.94548798134</c:v>
                </c:pt>
                <c:pt idx="14">
                  <c:v>160759.12625686129</c:v>
                </c:pt>
                <c:pt idx="15">
                  <c:v>320305.783919612</c:v>
                </c:pt>
                <c:pt idx="16">
                  <c:v>151534.97284556486</c:v>
                </c:pt>
                <c:pt idx="17">
                  <c:v>344305.81070893147</c:v>
                </c:pt>
              </c:numCache>
            </c:numRef>
          </c:xVal>
          <c:yVal>
            <c:numRef>
              <c:f>'Проверка гипотез'!$V$27:$V$44</c:f>
              <c:numCache>
                <c:formatCode>General</c:formatCode>
                <c:ptCount val="18"/>
                <c:pt idx="0">
                  <c:v>3.25</c:v>
                </c:pt>
                <c:pt idx="1">
                  <c:v>5</c:v>
                </c:pt>
                <c:pt idx="2">
                  <c:v>9</c:v>
                </c:pt>
                <c:pt idx="3">
                  <c:v>9.3000000000000007</c:v>
                </c:pt>
                <c:pt idx="4">
                  <c:v>11</c:v>
                </c:pt>
                <c:pt idx="5">
                  <c:v>18.7</c:v>
                </c:pt>
                <c:pt idx="6">
                  <c:v>23.3</c:v>
                </c:pt>
                <c:pt idx="7">
                  <c:v>27</c:v>
                </c:pt>
                <c:pt idx="8">
                  <c:v>33.1</c:v>
                </c:pt>
                <c:pt idx="9">
                  <c:v>39.700000000000003</c:v>
                </c:pt>
                <c:pt idx="10">
                  <c:v>47.1</c:v>
                </c:pt>
                <c:pt idx="11">
                  <c:v>57.7</c:v>
                </c:pt>
                <c:pt idx="12">
                  <c:v>64.5</c:v>
                </c:pt>
                <c:pt idx="13">
                  <c:v>64.7</c:v>
                </c:pt>
                <c:pt idx="14">
                  <c:v>70.3</c:v>
                </c:pt>
                <c:pt idx="15">
                  <c:v>74</c:v>
                </c:pt>
                <c:pt idx="16">
                  <c:v>77.7</c:v>
                </c:pt>
                <c:pt idx="17">
                  <c:v>83.4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300-9E48-9392-08F7CE18BE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6172480"/>
        <c:axId val="5593328"/>
      </c:scatterChart>
      <c:valAx>
        <c:axId val="1166172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93328"/>
        <c:crosses val="autoZero"/>
        <c:crossBetween val="midCat"/>
      </c:valAx>
      <c:valAx>
        <c:axId val="559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661724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'Проверка гипотез'!$D$49</c:f>
              <c:strCache>
                <c:ptCount val="1"/>
                <c:pt idx="0">
                  <c:v>Стандартные остатки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'Проверка гипотез'!$C$50:$C$67</c:f>
              <c:numCache>
                <c:formatCode>General</c:formatCode>
                <c:ptCount val="18"/>
                <c:pt idx="0">
                  <c:v>-324.1023382718559</c:v>
                </c:pt>
                <c:pt idx="1">
                  <c:v>-171.14124165575546</c:v>
                </c:pt>
                <c:pt idx="2">
                  <c:v>272.22526963770656</c:v>
                </c:pt>
                <c:pt idx="3">
                  <c:v>275.99512407556853</c:v>
                </c:pt>
                <c:pt idx="4">
                  <c:v>279.39254680184274</c:v>
                </c:pt>
                <c:pt idx="5">
                  <c:v>42.508589528129733</c:v>
                </c:pt>
                <c:pt idx="6">
                  <c:v>-227.69807187372237</c:v>
                </c:pt>
                <c:pt idx="7">
                  <c:v>-90.33573816601654</c:v>
                </c:pt>
                <c:pt idx="8">
                  <c:v>-41.480182540491455</c:v>
                </c:pt>
                <c:pt idx="9">
                  <c:v>171.37915747777265</c:v>
                </c:pt>
                <c:pt idx="10">
                  <c:v>172.00760572178115</c:v>
                </c:pt>
                <c:pt idx="11">
                  <c:v>-257.19857289849415</c:v>
                </c:pt>
                <c:pt idx="12">
                  <c:v>-611.6844081350182</c:v>
                </c:pt>
                <c:pt idx="13">
                  <c:v>500.98497531161684</c:v>
                </c:pt>
                <c:pt idx="14">
                  <c:v>-400.94778495068567</c:v>
                </c:pt>
                <c:pt idx="15">
                  <c:v>-565.95563776643485</c:v>
                </c:pt>
                <c:pt idx="16">
                  <c:v>389.27493220802808</c:v>
                </c:pt>
                <c:pt idx="17">
                  <c:v>586.77577549599937</c:v>
                </c:pt>
              </c:numCache>
            </c:numRef>
          </c:xVal>
          <c:yVal>
            <c:numRef>
              <c:f>'Проверка гипотез'!$D$50:$D$67</c:f>
              <c:numCache>
                <c:formatCode>General</c:formatCode>
                <c:ptCount val="18"/>
                <c:pt idx="0">
                  <c:v>-0.91064240946630526</c:v>
                </c:pt>
                <c:pt idx="1">
                  <c:v>-0.48086192000789335</c:v>
                </c:pt>
                <c:pt idx="2">
                  <c:v>0.76488147781444937</c:v>
                </c:pt>
                <c:pt idx="3">
                  <c:v>0.7754737782185035</c:v>
                </c:pt>
                <c:pt idx="4">
                  <c:v>0.78501964337309194</c:v>
                </c:pt>
                <c:pt idx="5">
                  <c:v>0.11943796702398456</c:v>
                </c:pt>
                <c:pt idx="6">
                  <c:v>-0.63977175205688508</c:v>
                </c:pt>
                <c:pt idx="7">
                  <c:v>-0.25381968764266116</c:v>
                </c:pt>
                <c:pt idx="8">
                  <c:v>-0.11654841361277354</c:v>
                </c:pt>
                <c:pt idx="9">
                  <c:v>0.48153040095303901</c:v>
                </c:pt>
                <c:pt idx="10">
                  <c:v>0.48329617538774466</c:v>
                </c:pt>
                <c:pt idx="11">
                  <c:v>-0.72266040838964996</c:v>
                </c:pt>
                <c:pt idx="12">
                  <c:v>-1.7186724607639596</c:v>
                </c:pt>
                <c:pt idx="13">
                  <c:v>1.4076361418951382</c:v>
                </c:pt>
                <c:pt idx="14">
                  <c:v>-1.1265579227367652</c:v>
                </c:pt>
                <c:pt idx="15">
                  <c:v>-1.5901866317124935</c:v>
                </c:pt>
                <c:pt idx="16">
                  <c:v>1.0937602736867826</c:v>
                </c:pt>
                <c:pt idx="17">
                  <c:v>1.6486857480365715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8C2-C247-B925-DD1993BCD1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4777200"/>
        <c:axId val="1454570672"/>
      </c:scatterChart>
      <c:valAx>
        <c:axId val="1454777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54570672"/>
        <c:crosses val="autoZero"/>
        <c:crossBetween val="midCat"/>
      </c:valAx>
      <c:valAx>
        <c:axId val="1454570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547772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Переменная </a:t>
            </a:r>
            <a:r>
              <a:rPr lang="en"/>
              <a:t>X 1 </a:t>
            </a:r>
            <a:r>
              <a:rPr lang="ru-RU"/>
              <a:t>График остатков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4345444319460068"/>
          <c:y val="0.16317257217847769"/>
          <c:w val="0.80307536557930259"/>
          <c:h val="0.74135379384395128"/>
        </c:manualLayout>
      </c:layout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'Проверка гипотез'!$B$2:$B$19</c:f>
              <c:numCache>
                <c:formatCode>0.00</c:formatCode>
                <c:ptCount val="18"/>
                <c:pt idx="0">
                  <c:v>100</c:v>
                </c:pt>
                <c:pt idx="1">
                  <c:v>135.4</c:v>
                </c:pt>
                <c:pt idx="2">
                  <c:v>150</c:v>
                </c:pt>
                <c:pt idx="3">
                  <c:v>158.34</c:v>
                </c:pt>
                <c:pt idx="4">
                  <c:v>170.255</c:v>
                </c:pt>
                <c:pt idx="5">
                  <c:v>248.64</c:v>
                </c:pt>
                <c:pt idx="6">
                  <c:v>293.66000000000003</c:v>
                </c:pt>
                <c:pt idx="7">
                  <c:v>283.42</c:v>
                </c:pt>
                <c:pt idx="8">
                  <c:v>292.14999999999998</c:v>
                </c:pt>
                <c:pt idx="9">
                  <c:v>304.98</c:v>
                </c:pt>
                <c:pt idx="10">
                  <c:v>284.67</c:v>
                </c:pt>
                <c:pt idx="11">
                  <c:v>389.6</c:v>
                </c:pt>
                <c:pt idx="12">
                  <c:v>484</c:v>
                </c:pt>
                <c:pt idx="13">
                  <c:v>61.77</c:v>
                </c:pt>
                <c:pt idx="14">
                  <c:v>728.51</c:v>
                </c:pt>
                <c:pt idx="15">
                  <c:v>756.22</c:v>
                </c:pt>
                <c:pt idx="16">
                  <c:v>822.2</c:v>
                </c:pt>
                <c:pt idx="17">
                  <c:v>1161.5999999999999</c:v>
                </c:pt>
              </c:numCache>
            </c:numRef>
          </c:xVal>
          <c:yVal>
            <c:numRef>
              <c:f>'Проверка гипотез'!$C$50:$C$67</c:f>
              <c:numCache>
                <c:formatCode>General</c:formatCode>
                <c:ptCount val="18"/>
                <c:pt idx="0">
                  <c:v>-324.1023382718559</c:v>
                </c:pt>
                <c:pt idx="1">
                  <c:v>-171.14124165575546</c:v>
                </c:pt>
                <c:pt idx="2">
                  <c:v>272.22526963770656</c:v>
                </c:pt>
                <c:pt idx="3">
                  <c:v>275.99512407556853</c:v>
                </c:pt>
                <c:pt idx="4">
                  <c:v>279.39254680184274</c:v>
                </c:pt>
                <c:pt idx="5">
                  <c:v>42.508589528129733</c:v>
                </c:pt>
                <c:pt idx="6">
                  <c:v>-227.69807187372237</c:v>
                </c:pt>
                <c:pt idx="7">
                  <c:v>-90.33573816601654</c:v>
                </c:pt>
                <c:pt idx="8">
                  <c:v>-41.480182540491455</c:v>
                </c:pt>
                <c:pt idx="9">
                  <c:v>171.37915747777265</c:v>
                </c:pt>
                <c:pt idx="10">
                  <c:v>172.00760572178115</c:v>
                </c:pt>
                <c:pt idx="11">
                  <c:v>-257.19857289849415</c:v>
                </c:pt>
                <c:pt idx="12">
                  <c:v>-611.6844081350182</c:v>
                </c:pt>
                <c:pt idx="13">
                  <c:v>500.98497531161684</c:v>
                </c:pt>
                <c:pt idx="14">
                  <c:v>-400.94778495068567</c:v>
                </c:pt>
                <c:pt idx="15">
                  <c:v>-565.95563776643485</c:v>
                </c:pt>
                <c:pt idx="16">
                  <c:v>389.27493220802808</c:v>
                </c:pt>
                <c:pt idx="17">
                  <c:v>586.77577549599937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89E-5E41-9E26-D6A89A768E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2715983"/>
        <c:axId val="1348671887"/>
      </c:scatterChart>
      <c:valAx>
        <c:axId val="14627159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Переменная </a:t>
                </a:r>
                <a:r>
                  <a:rPr lang="en"/>
                  <a:t>X 1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1348671887"/>
        <c:crosses val="autoZero"/>
        <c:crossBetween val="midCat"/>
      </c:valAx>
      <c:valAx>
        <c:axId val="134867188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Остатки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62715983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Переменная </a:t>
            </a:r>
            <a:r>
              <a:rPr lang="en"/>
              <a:t>X 2 </a:t>
            </a:r>
            <a:r>
              <a:rPr lang="ru-RU"/>
              <a:t>График остатков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8.4960757954036223E-2"/>
          <c:y val="0.22553695840375973"/>
          <c:w val="0.87375878624927983"/>
          <c:h val="0.6424994846848332"/>
        </c:manualLayout>
      </c:layout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'Проверка гипотез'!$C$2:$C$19</c:f>
              <c:numCache>
                <c:formatCode>0.00</c:formatCode>
                <c:ptCount val="18"/>
                <c:pt idx="0">
                  <c:v>3.25</c:v>
                </c:pt>
                <c:pt idx="1">
                  <c:v>5</c:v>
                </c:pt>
                <c:pt idx="2">
                  <c:v>9</c:v>
                </c:pt>
                <c:pt idx="3">
                  <c:v>9.3000000000000007</c:v>
                </c:pt>
                <c:pt idx="4">
                  <c:v>11</c:v>
                </c:pt>
                <c:pt idx="5">
                  <c:v>18.7</c:v>
                </c:pt>
                <c:pt idx="6">
                  <c:v>23.3</c:v>
                </c:pt>
                <c:pt idx="7">
                  <c:v>27</c:v>
                </c:pt>
                <c:pt idx="8">
                  <c:v>33.1</c:v>
                </c:pt>
                <c:pt idx="9">
                  <c:v>39.700000000000003</c:v>
                </c:pt>
                <c:pt idx="10">
                  <c:v>47.1</c:v>
                </c:pt>
                <c:pt idx="11">
                  <c:v>57.7</c:v>
                </c:pt>
                <c:pt idx="12">
                  <c:v>64.5</c:v>
                </c:pt>
                <c:pt idx="13">
                  <c:v>64.7</c:v>
                </c:pt>
                <c:pt idx="14">
                  <c:v>70.3</c:v>
                </c:pt>
                <c:pt idx="15">
                  <c:v>74</c:v>
                </c:pt>
                <c:pt idx="16">
                  <c:v>77.7</c:v>
                </c:pt>
                <c:pt idx="17">
                  <c:v>83.4</c:v>
                </c:pt>
              </c:numCache>
            </c:numRef>
          </c:xVal>
          <c:yVal>
            <c:numRef>
              <c:f>'Проверка гипотез'!$C$50:$C$67</c:f>
              <c:numCache>
                <c:formatCode>General</c:formatCode>
                <c:ptCount val="18"/>
                <c:pt idx="0">
                  <c:v>-324.1023382718559</c:v>
                </c:pt>
                <c:pt idx="1">
                  <c:v>-171.14124165575546</c:v>
                </c:pt>
                <c:pt idx="2">
                  <c:v>272.22526963770656</c:v>
                </c:pt>
                <c:pt idx="3">
                  <c:v>275.99512407556853</c:v>
                </c:pt>
                <c:pt idx="4">
                  <c:v>279.39254680184274</c:v>
                </c:pt>
                <c:pt idx="5">
                  <c:v>42.508589528129733</c:v>
                </c:pt>
                <c:pt idx="6">
                  <c:v>-227.69807187372237</c:v>
                </c:pt>
                <c:pt idx="7">
                  <c:v>-90.33573816601654</c:v>
                </c:pt>
                <c:pt idx="8">
                  <c:v>-41.480182540491455</c:v>
                </c:pt>
                <c:pt idx="9">
                  <c:v>171.37915747777265</c:v>
                </c:pt>
                <c:pt idx="10">
                  <c:v>172.00760572178115</c:v>
                </c:pt>
                <c:pt idx="11">
                  <c:v>-257.19857289849415</c:v>
                </c:pt>
                <c:pt idx="12">
                  <c:v>-611.6844081350182</c:v>
                </c:pt>
                <c:pt idx="13">
                  <c:v>500.98497531161684</c:v>
                </c:pt>
                <c:pt idx="14">
                  <c:v>-400.94778495068567</c:v>
                </c:pt>
                <c:pt idx="15">
                  <c:v>-565.95563776643485</c:v>
                </c:pt>
                <c:pt idx="16">
                  <c:v>389.27493220802808</c:v>
                </c:pt>
                <c:pt idx="17">
                  <c:v>586.77577549599937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27A-5547-9F57-8115FF477F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2636447"/>
        <c:axId val="1349062735"/>
      </c:scatterChart>
      <c:valAx>
        <c:axId val="14626364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Переменная </a:t>
                </a:r>
                <a:r>
                  <a:rPr lang="en"/>
                  <a:t>X 2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1349062735"/>
        <c:crosses val="autoZero"/>
        <c:crossBetween val="midCat"/>
      </c:valAx>
      <c:valAx>
        <c:axId val="134906273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Остатки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62636447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Переменная </a:t>
            </a:r>
            <a:r>
              <a:rPr lang="en"/>
              <a:t>X 3 </a:t>
            </a:r>
            <a:r>
              <a:rPr lang="ru-RU"/>
              <a:t>График остатков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'Проверка гипотез'!$D$2:$D$19</c:f>
              <c:numCache>
                <c:formatCode>0.00</c:formatCode>
                <c:ptCount val="18"/>
                <c:pt idx="0">
                  <c:v>57.102499999999999</c:v>
                </c:pt>
                <c:pt idx="1">
                  <c:v>123</c:v>
                </c:pt>
                <c:pt idx="2">
                  <c:v>252.9</c:v>
                </c:pt>
                <c:pt idx="3">
                  <c:v>275.28000000000003</c:v>
                </c:pt>
                <c:pt idx="4">
                  <c:v>438.9</c:v>
                </c:pt>
                <c:pt idx="5">
                  <c:v>1084.5999999999999</c:v>
                </c:pt>
                <c:pt idx="6">
                  <c:v>1537.8</c:v>
                </c:pt>
                <c:pt idx="7">
                  <c:v>1836</c:v>
                </c:pt>
                <c:pt idx="8">
                  <c:v>2350.1</c:v>
                </c:pt>
                <c:pt idx="9">
                  <c:v>2782.97</c:v>
                </c:pt>
                <c:pt idx="10">
                  <c:v>3442.5390000000002</c:v>
                </c:pt>
                <c:pt idx="11">
                  <c:v>4385.777000000001</c:v>
                </c:pt>
                <c:pt idx="12">
                  <c:v>5215.47</c:v>
                </c:pt>
                <c:pt idx="13">
                  <c:v>5346.808</c:v>
                </c:pt>
                <c:pt idx="14">
                  <c:v>5974.7969999999996</c:v>
                </c:pt>
                <c:pt idx="15">
                  <c:v>6586</c:v>
                </c:pt>
                <c:pt idx="16">
                  <c:v>6853.14</c:v>
                </c:pt>
                <c:pt idx="17">
                  <c:v>7439.2800000000007</c:v>
                </c:pt>
              </c:numCache>
            </c:numRef>
          </c:xVal>
          <c:yVal>
            <c:numRef>
              <c:f>'Проверка гипотез'!$C$50:$C$67</c:f>
              <c:numCache>
                <c:formatCode>General</c:formatCode>
                <c:ptCount val="18"/>
                <c:pt idx="0">
                  <c:v>-324.1023382718559</c:v>
                </c:pt>
                <c:pt idx="1">
                  <c:v>-171.14124165575546</c:v>
                </c:pt>
                <c:pt idx="2">
                  <c:v>272.22526963770656</c:v>
                </c:pt>
                <c:pt idx="3">
                  <c:v>275.99512407556853</c:v>
                </c:pt>
                <c:pt idx="4">
                  <c:v>279.39254680184274</c:v>
                </c:pt>
                <c:pt idx="5">
                  <c:v>42.508589528129733</c:v>
                </c:pt>
                <c:pt idx="6">
                  <c:v>-227.69807187372237</c:v>
                </c:pt>
                <c:pt idx="7">
                  <c:v>-90.33573816601654</c:v>
                </c:pt>
                <c:pt idx="8">
                  <c:v>-41.480182540491455</c:v>
                </c:pt>
                <c:pt idx="9">
                  <c:v>171.37915747777265</c:v>
                </c:pt>
                <c:pt idx="10">
                  <c:v>172.00760572178115</c:v>
                </c:pt>
                <c:pt idx="11">
                  <c:v>-257.19857289849415</c:v>
                </c:pt>
                <c:pt idx="12">
                  <c:v>-611.6844081350182</c:v>
                </c:pt>
                <c:pt idx="13">
                  <c:v>500.98497531161684</c:v>
                </c:pt>
                <c:pt idx="14">
                  <c:v>-400.94778495068567</c:v>
                </c:pt>
                <c:pt idx="15">
                  <c:v>-565.95563776643485</c:v>
                </c:pt>
                <c:pt idx="16">
                  <c:v>389.27493220802808</c:v>
                </c:pt>
                <c:pt idx="17">
                  <c:v>586.77577549599937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569-D74A-B80B-4349786FA8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2693263"/>
        <c:axId val="1802694975"/>
      </c:scatterChart>
      <c:valAx>
        <c:axId val="18026932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Переменная </a:t>
                </a:r>
                <a:r>
                  <a:rPr lang="en"/>
                  <a:t>X 3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1802694975"/>
        <c:crosses val="autoZero"/>
        <c:crossBetween val="midCat"/>
      </c:valAx>
      <c:valAx>
        <c:axId val="180269497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Остатки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02693263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'Проверка гипотез'!$W$26</c:f>
              <c:strCache>
                <c:ptCount val="1"/>
                <c:pt idx="0">
                  <c:v>X2X3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'Проверка гипотез'!$T$27:$T$44</c:f>
              <c:numCache>
                <c:formatCode>General</c:formatCode>
                <c:ptCount val="18"/>
                <c:pt idx="0">
                  <c:v>105042.3256732845</c:v>
                </c:pt>
                <c:pt idx="1">
                  <c:v>29289.324595473689</c:v>
                </c:pt>
                <c:pt idx="2">
                  <c:v>74106.597429322035</c:v>
                </c:pt>
                <c:pt idx="3">
                  <c:v>76173.30851348846</c:v>
                </c:pt>
                <c:pt idx="4">
                  <c:v>78060.195208419886</c:v>
                </c:pt>
                <c:pt idx="5">
                  <c:v>1806.9801836710208</c:v>
                </c:pt>
                <c:pt idx="6">
                  <c:v>51846.411935010838</c:v>
                </c:pt>
                <c:pt idx="7">
                  <c:v>8160.5455899990975</c:v>
                </c:pt>
                <c:pt idx="8">
                  <c:v>1720.6055435924923</c:v>
                </c:pt>
                <c:pt idx="9">
                  <c:v>29370.815617791199</c:v>
                </c:pt>
                <c:pt idx="10">
                  <c:v>29586.616426139717</c:v>
                </c:pt>
                <c:pt idx="11">
                  <c:v>66151.105901022005</c:v>
                </c:pt>
                <c:pt idx="12">
                  <c:v>374157.81515548751</c:v>
                </c:pt>
                <c:pt idx="13">
                  <c:v>250985.94548798134</c:v>
                </c:pt>
                <c:pt idx="14">
                  <c:v>160759.12625686129</c:v>
                </c:pt>
                <c:pt idx="15">
                  <c:v>320305.783919612</c:v>
                </c:pt>
                <c:pt idx="16">
                  <c:v>151534.97284556486</c:v>
                </c:pt>
                <c:pt idx="17">
                  <c:v>344305.81070893147</c:v>
                </c:pt>
              </c:numCache>
            </c:numRef>
          </c:xVal>
          <c:yVal>
            <c:numRef>
              <c:f>'Проверка гипотез'!$W$27:$W$44</c:f>
              <c:numCache>
                <c:formatCode>General</c:formatCode>
                <c:ptCount val="18"/>
                <c:pt idx="0">
                  <c:v>57.102499999999999</c:v>
                </c:pt>
                <c:pt idx="1">
                  <c:v>123</c:v>
                </c:pt>
                <c:pt idx="2">
                  <c:v>252.9</c:v>
                </c:pt>
                <c:pt idx="3">
                  <c:v>275.28000000000003</c:v>
                </c:pt>
                <c:pt idx="4">
                  <c:v>438.9</c:v>
                </c:pt>
                <c:pt idx="5">
                  <c:v>1084.5999999999999</c:v>
                </c:pt>
                <c:pt idx="6">
                  <c:v>1537.8</c:v>
                </c:pt>
                <c:pt idx="7">
                  <c:v>1836</c:v>
                </c:pt>
                <c:pt idx="8">
                  <c:v>2350.1</c:v>
                </c:pt>
                <c:pt idx="9">
                  <c:v>2782.97</c:v>
                </c:pt>
                <c:pt idx="10">
                  <c:v>3442.5390000000002</c:v>
                </c:pt>
                <c:pt idx="11">
                  <c:v>4385.777000000001</c:v>
                </c:pt>
                <c:pt idx="12">
                  <c:v>5215.47</c:v>
                </c:pt>
                <c:pt idx="13">
                  <c:v>5346.808</c:v>
                </c:pt>
                <c:pt idx="14">
                  <c:v>5974.7969999999996</c:v>
                </c:pt>
                <c:pt idx="15">
                  <c:v>6586</c:v>
                </c:pt>
                <c:pt idx="16">
                  <c:v>6853.14</c:v>
                </c:pt>
                <c:pt idx="17">
                  <c:v>7439.2800000000007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79-564F-9BDE-4C1EC17579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6172480"/>
        <c:axId val="5593328"/>
      </c:scatterChart>
      <c:valAx>
        <c:axId val="1166172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93328"/>
        <c:crosses val="autoZero"/>
        <c:crossBetween val="midCat"/>
      </c:valAx>
      <c:valAx>
        <c:axId val="559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661724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8882609754881539E-2"/>
          <c:y val="7.572238676587445E-2"/>
          <c:w val="0.85166117408750863"/>
          <c:h val="0.8990825688073395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'Анализ временных рядов'!$B$3:$B$20</c:f>
              <c:numCache>
                <c:formatCode>General</c:formatCode>
                <c:ptCount val="18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</c:numCache>
            </c:numRef>
          </c:xVal>
          <c:yVal>
            <c:numRef>
              <c:f>'Анализ временных рядов'!$C$3:$C$20</c:f>
              <c:numCache>
                <c:formatCode>0.00</c:formatCode>
                <c:ptCount val="18"/>
                <c:pt idx="0">
                  <c:v>29.3</c:v>
                </c:pt>
                <c:pt idx="1">
                  <c:v>95.35</c:v>
                </c:pt>
                <c:pt idx="2">
                  <c:v>128.31</c:v>
                </c:pt>
                <c:pt idx="3">
                  <c:v>150</c:v>
                </c:pt>
                <c:pt idx="4">
                  <c:v>260</c:v>
                </c:pt>
                <c:pt idx="5">
                  <c:v>330</c:v>
                </c:pt>
                <c:pt idx="6">
                  <c:v>405</c:v>
                </c:pt>
                <c:pt idx="7">
                  <c:v>544</c:v>
                </c:pt>
                <c:pt idx="8">
                  <c:v>713</c:v>
                </c:pt>
                <c:pt idx="9">
                  <c:v>760</c:v>
                </c:pt>
                <c:pt idx="10">
                  <c:v>920</c:v>
                </c:pt>
                <c:pt idx="11">
                  <c:v>1040</c:v>
                </c:pt>
                <c:pt idx="12">
                  <c:v>1657</c:v>
                </c:pt>
                <c:pt idx="13">
                  <c:v>2032</c:v>
                </c:pt>
                <c:pt idx="14">
                  <c:v>3221</c:v>
                </c:pt>
                <c:pt idx="15">
                  <c:v>3921</c:v>
                </c:pt>
                <c:pt idx="16">
                  <c:v>4986</c:v>
                </c:pt>
                <c:pt idx="17">
                  <c:v>6359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495-3943-9288-32369C1C8D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3725456"/>
        <c:axId val="1223727184"/>
      </c:scatterChart>
      <c:valAx>
        <c:axId val="1223725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23727184"/>
        <c:crosses val="autoZero"/>
        <c:crossBetween val="midCat"/>
      </c:valAx>
      <c:valAx>
        <c:axId val="1223727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237254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'Анализ временных рядов'!$B$55</c:f>
              <c:strCache>
                <c:ptCount val="1"/>
                <c:pt idx="0">
                  <c:v>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'Анализ временных рядов'!$B$56:$B$73</c:f>
              <c:numCache>
                <c:formatCode>0.00</c:formatCode>
                <c:ptCount val="18"/>
                <c:pt idx="0">
                  <c:v>29.3</c:v>
                </c:pt>
                <c:pt idx="1">
                  <c:v>95.35</c:v>
                </c:pt>
                <c:pt idx="2">
                  <c:v>128.31</c:v>
                </c:pt>
                <c:pt idx="3">
                  <c:v>150</c:v>
                </c:pt>
                <c:pt idx="4">
                  <c:v>260</c:v>
                </c:pt>
                <c:pt idx="5">
                  <c:v>330</c:v>
                </c:pt>
                <c:pt idx="6">
                  <c:v>405</c:v>
                </c:pt>
                <c:pt idx="7">
                  <c:v>544</c:v>
                </c:pt>
                <c:pt idx="8">
                  <c:v>713</c:v>
                </c:pt>
                <c:pt idx="9">
                  <c:v>760</c:v>
                </c:pt>
                <c:pt idx="10">
                  <c:v>920</c:v>
                </c:pt>
                <c:pt idx="11">
                  <c:v>1040</c:v>
                </c:pt>
                <c:pt idx="12">
                  <c:v>1657</c:v>
                </c:pt>
                <c:pt idx="13">
                  <c:v>2032</c:v>
                </c:pt>
                <c:pt idx="14">
                  <c:v>3221</c:v>
                </c:pt>
                <c:pt idx="15">
                  <c:v>3921</c:v>
                </c:pt>
                <c:pt idx="16">
                  <c:v>4986</c:v>
                </c:pt>
                <c:pt idx="17">
                  <c:v>6359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DA-B541-8550-E4F909073743}"/>
            </c:ext>
          </c:extLst>
        </c:ser>
        <c:ser>
          <c:idx val="3"/>
          <c:order val="1"/>
          <c:tx>
            <c:strRef>
              <c:f>'Анализ временных рядов'!$D$55</c:f>
              <c:strCache>
                <c:ptCount val="1"/>
                <c:pt idx="0">
                  <c:v>Выровненное значение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'Анализ временных рядов'!$D$56:$D$73</c:f>
              <c:numCache>
                <c:formatCode>0.00</c:formatCode>
                <c:ptCount val="18"/>
                <c:pt idx="0">
                  <c:v>36.69564836308119</c:v>
                </c:pt>
                <c:pt idx="1">
                  <c:v>119.23635155318046</c:v>
                </c:pt>
                <c:pt idx="2">
                  <c:v>158.81977654171484</c:v>
                </c:pt>
                <c:pt idx="3">
                  <c:v>188.90166163240403</c:v>
                </c:pt>
                <c:pt idx="4">
                  <c:v>325.03772696363541</c:v>
                </c:pt>
                <c:pt idx="5">
                  <c:v>413.29569828726255</c:v>
                </c:pt>
                <c:pt idx="6">
                  <c:v>506.45749742043091</c:v>
                </c:pt>
                <c:pt idx="7">
                  <c:v>673.35327284461755</c:v>
                </c:pt>
                <c:pt idx="8">
                  <c:v>897.91256495936057</c:v>
                </c:pt>
                <c:pt idx="9">
                  <c:v>950.11027881678035</c:v>
                </c:pt>
                <c:pt idx="10">
                  <c:v>1152.2183103766108</c:v>
                </c:pt>
                <c:pt idx="11">
                  <c:v>1300.5328328820942</c:v>
                </c:pt>
                <c:pt idx="12">
                  <c:v>2051.0043623226675</c:v>
                </c:pt>
                <c:pt idx="13">
                  <c:v>2558.9878429136334</c:v>
                </c:pt>
                <c:pt idx="14">
                  <c:v>4026.7173790379597</c:v>
                </c:pt>
                <c:pt idx="15">
                  <c:v>4910.7043423768373</c:v>
                </c:pt>
                <c:pt idx="16">
                  <c:v>6235.0545237981942</c:v>
                </c:pt>
                <c:pt idx="17">
                  <c:v>7871.05415812302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ADA-B541-8550-E4F9090737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6510463"/>
        <c:axId val="736395599"/>
      </c:lineChart>
      <c:catAx>
        <c:axId val="73651046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36395599"/>
        <c:crosses val="autoZero"/>
        <c:auto val="1"/>
        <c:lblAlgn val="ctr"/>
        <c:lblOffset val="100"/>
        <c:noMultiLvlLbl val="0"/>
      </c:catAx>
      <c:valAx>
        <c:axId val="736395599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365104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3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1.xml"/><Relationship Id="rId3" Type="http://schemas.openxmlformats.org/officeDocument/2006/relationships/chart" Target="../charts/chart6.xml"/><Relationship Id="rId7" Type="http://schemas.openxmlformats.org/officeDocument/2006/relationships/chart" Target="../charts/chart10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6" Type="http://schemas.openxmlformats.org/officeDocument/2006/relationships/chart" Target="../charts/chart9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107950</xdr:colOff>
      <xdr:row>0</xdr:row>
      <xdr:rowOff>12700</xdr:rowOff>
    </xdr:from>
    <xdr:to>
      <xdr:col>29</xdr:col>
      <xdr:colOff>495300</xdr:colOff>
      <xdr:row>11</xdr:row>
      <xdr:rowOff>38100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B27C5F67-C690-D86B-1A8D-66C5797A71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0</xdr:row>
      <xdr:rowOff>0</xdr:rowOff>
    </xdr:from>
    <xdr:to>
      <xdr:col>20</xdr:col>
      <xdr:colOff>660400</xdr:colOff>
      <xdr:row>11</xdr:row>
      <xdr:rowOff>63500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0B4F6B41-E6D7-CEE3-C102-346B892054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584200</xdr:colOff>
      <xdr:row>0</xdr:row>
      <xdr:rowOff>38100</xdr:rowOff>
    </xdr:from>
    <xdr:to>
      <xdr:col>13</xdr:col>
      <xdr:colOff>63500</xdr:colOff>
      <xdr:row>11</xdr:row>
      <xdr:rowOff>101600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FDCD2623-C95D-AED5-9143-D286FC4BE3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755650</xdr:colOff>
      <xdr:row>70</xdr:row>
      <xdr:rowOff>0</xdr:rowOff>
    </xdr:from>
    <xdr:to>
      <xdr:col>4</xdr:col>
      <xdr:colOff>327382</xdr:colOff>
      <xdr:row>90</xdr:row>
      <xdr:rowOff>163036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68DA6686-F274-B041-8FD6-C934F0C35F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73</xdr:row>
      <xdr:rowOff>83729</xdr:rowOff>
    </xdr:from>
    <xdr:to>
      <xdr:col>5</xdr:col>
      <xdr:colOff>297564</xdr:colOff>
      <xdr:row>73</xdr:row>
      <xdr:rowOff>109129</xdr:rowOff>
    </xdr:to>
    <xdr:cxnSp macro="">
      <xdr:nvCxnSpPr>
        <xdr:cNvPr id="4" name="Прямая соединительная линия 3">
          <a:extLst>
            <a:ext uri="{FF2B5EF4-FFF2-40B4-BE49-F238E27FC236}">
              <a16:creationId xmlns:a16="http://schemas.microsoft.com/office/drawing/2014/main" id="{5C6ED536-4FA9-C741-8CDD-DA171C2DAC57}"/>
            </a:ext>
          </a:extLst>
        </xdr:cNvPr>
        <xdr:cNvCxnSpPr/>
      </xdr:nvCxnSpPr>
      <xdr:spPr>
        <a:xfrm>
          <a:off x="1143000" y="20276729"/>
          <a:ext cx="6330064" cy="254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57150</xdr:colOff>
      <xdr:row>89</xdr:row>
      <xdr:rowOff>8770</xdr:rowOff>
    </xdr:from>
    <xdr:to>
      <xdr:col>5</xdr:col>
      <xdr:colOff>354714</xdr:colOff>
      <xdr:row>89</xdr:row>
      <xdr:rowOff>34170</xdr:rowOff>
    </xdr:to>
    <xdr:cxnSp macro="">
      <xdr:nvCxnSpPr>
        <xdr:cNvPr id="5" name="Прямая соединительная линия 4">
          <a:extLst>
            <a:ext uri="{FF2B5EF4-FFF2-40B4-BE49-F238E27FC236}">
              <a16:creationId xmlns:a16="http://schemas.microsoft.com/office/drawing/2014/main" id="{66A3BB52-B883-EE49-AF51-386594161472}"/>
            </a:ext>
          </a:extLst>
        </xdr:cNvPr>
        <xdr:cNvCxnSpPr/>
      </xdr:nvCxnSpPr>
      <xdr:spPr>
        <a:xfrm>
          <a:off x="1200150" y="23270937"/>
          <a:ext cx="6330064" cy="254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812800</xdr:colOff>
      <xdr:row>22</xdr:row>
      <xdr:rowOff>194735</xdr:rowOff>
    </xdr:from>
    <xdr:to>
      <xdr:col>29</xdr:col>
      <xdr:colOff>406400</xdr:colOff>
      <xdr:row>29</xdr:row>
      <xdr:rowOff>8468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A55203D4-4610-EE46-57F4-FC683F1928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26609</xdr:colOff>
      <xdr:row>30</xdr:row>
      <xdr:rowOff>1</xdr:rowOff>
    </xdr:from>
    <xdr:to>
      <xdr:col>29</xdr:col>
      <xdr:colOff>446717</xdr:colOff>
      <xdr:row>45</xdr:row>
      <xdr:rowOff>60475</xdr:rowOff>
    </xdr:to>
    <xdr:graphicFrame macro="">
      <xdr:nvGraphicFramePr>
        <xdr:cNvPr id="9" name="Диаграмма 8">
          <a:extLst>
            <a:ext uri="{FF2B5EF4-FFF2-40B4-BE49-F238E27FC236}">
              <a16:creationId xmlns:a16="http://schemas.microsoft.com/office/drawing/2014/main" id="{5E831D20-ACFB-60BF-7277-3F5D33211B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29</xdr:col>
      <xdr:colOff>769006</xdr:colOff>
      <xdr:row>43</xdr:row>
      <xdr:rowOff>2628</xdr:rowOff>
    </xdr:from>
    <xdr:ext cx="325821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F5529FEC-F6F4-8240-A86F-C1E7C29AB8C6}"/>
                </a:ext>
              </a:extLst>
            </xdr:cNvPr>
            <xdr:cNvSpPr txBox="1"/>
          </xdr:nvSpPr>
          <xdr:spPr>
            <a:xfrm>
              <a:off x="32798406" y="12194628"/>
              <a:ext cx="32582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ru-RU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𝜎</m:t>
                    </m:r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F5529FEC-F6F4-8240-A86F-C1E7C29AB8C6}"/>
                </a:ext>
              </a:extLst>
            </xdr:cNvPr>
            <xdr:cNvSpPr txBox="1"/>
          </xdr:nvSpPr>
          <xdr:spPr>
            <a:xfrm>
              <a:off x="32798406" y="12194628"/>
              <a:ext cx="32582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ru-RU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𝜎</a:t>
              </a:r>
              <a:endParaRPr lang="ru-RU" sz="1100"/>
            </a:p>
          </xdr:txBody>
        </xdr:sp>
      </mc:Fallback>
    </mc:AlternateContent>
    <xdr:clientData/>
  </xdr:oneCellAnchor>
  <xdr:twoCellAnchor>
    <xdr:from>
      <xdr:col>34</xdr:col>
      <xdr:colOff>829550</xdr:colOff>
      <xdr:row>23</xdr:row>
      <xdr:rowOff>118540</xdr:rowOff>
    </xdr:from>
    <xdr:to>
      <xdr:col>40</xdr:col>
      <xdr:colOff>393494</xdr:colOff>
      <xdr:row>28</xdr:row>
      <xdr:rowOff>363957</xdr:rowOff>
    </xdr:to>
    <xdr:graphicFrame macro="">
      <xdr:nvGraphicFramePr>
        <xdr:cNvPr id="11" name="Диаграмма 10">
          <a:extLst>
            <a:ext uri="{FF2B5EF4-FFF2-40B4-BE49-F238E27FC236}">
              <a16:creationId xmlns:a16="http://schemas.microsoft.com/office/drawing/2014/main" id="{91A09497-00CB-86F2-BEC5-A3A9ACB332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21166</xdr:colOff>
      <xdr:row>30</xdr:row>
      <xdr:rowOff>33866</xdr:rowOff>
    </xdr:from>
    <xdr:to>
      <xdr:col>14</xdr:col>
      <xdr:colOff>21166</xdr:colOff>
      <xdr:row>44</xdr:row>
      <xdr:rowOff>105833</xdr:rowOff>
    </xdr:to>
    <xdr:graphicFrame macro="">
      <xdr:nvGraphicFramePr>
        <xdr:cNvPr id="14" name="Диаграмма 13">
          <a:extLst>
            <a:ext uri="{FF2B5EF4-FFF2-40B4-BE49-F238E27FC236}">
              <a16:creationId xmlns:a16="http://schemas.microsoft.com/office/drawing/2014/main" id="{FF09E263-2C35-257D-3778-BC27FD2852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0</xdr:colOff>
      <xdr:row>46</xdr:row>
      <xdr:rowOff>93132</xdr:rowOff>
    </xdr:from>
    <xdr:to>
      <xdr:col>14</xdr:col>
      <xdr:colOff>21167</xdr:colOff>
      <xdr:row>58</xdr:row>
      <xdr:rowOff>169332</xdr:rowOff>
    </xdr:to>
    <xdr:graphicFrame macro="">
      <xdr:nvGraphicFramePr>
        <xdr:cNvPr id="15" name="Диаграмма 14">
          <a:extLst>
            <a:ext uri="{FF2B5EF4-FFF2-40B4-BE49-F238E27FC236}">
              <a16:creationId xmlns:a16="http://schemas.microsoft.com/office/drawing/2014/main" id="{6B5056D9-E098-4C75-8DB4-655AE092A2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8467</xdr:colOff>
      <xdr:row>60</xdr:row>
      <xdr:rowOff>131234</xdr:rowOff>
    </xdr:from>
    <xdr:to>
      <xdr:col>14</xdr:col>
      <xdr:colOff>42333</xdr:colOff>
      <xdr:row>70</xdr:row>
      <xdr:rowOff>8880</xdr:rowOff>
    </xdr:to>
    <xdr:graphicFrame macro="">
      <xdr:nvGraphicFramePr>
        <xdr:cNvPr id="16" name="Диаграмма 15">
          <a:extLst>
            <a:ext uri="{FF2B5EF4-FFF2-40B4-BE49-F238E27FC236}">
              <a16:creationId xmlns:a16="http://schemas.microsoft.com/office/drawing/2014/main" id="{7534AE46-2A63-9783-256C-BD427D3817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20159</xdr:colOff>
      <xdr:row>46</xdr:row>
      <xdr:rowOff>120953</xdr:rowOff>
    </xdr:from>
    <xdr:to>
      <xdr:col>29</xdr:col>
      <xdr:colOff>443492</xdr:colOff>
      <xdr:row>58</xdr:row>
      <xdr:rowOff>129018</xdr:rowOff>
    </xdr:to>
    <xdr:graphicFrame macro="">
      <xdr:nvGraphicFramePr>
        <xdr:cNvPr id="17" name="Диаграмма 16">
          <a:extLst>
            <a:ext uri="{FF2B5EF4-FFF2-40B4-BE49-F238E27FC236}">
              <a16:creationId xmlns:a16="http://schemas.microsoft.com/office/drawing/2014/main" id="{6F054405-B77D-444F-9AFF-2E9B88FAD0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795867</xdr:colOff>
      <xdr:row>4</xdr:row>
      <xdr:rowOff>165100</xdr:rowOff>
    </xdr:from>
    <xdr:to>
      <xdr:col>9</xdr:col>
      <xdr:colOff>410634</xdr:colOff>
      <xdr:row>18</xdr:row>
      <xdr:rowOff>21167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E97AE36E-647A-464A-B78D-2054F496F3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408214</xdr:colOff>
      <xdr:row>50</xdr:row>
      <xdr:rowOff>101600</xdr:rowOff>
    </xdr:from>
    <xdr:to>
      <xdr:col>16</xdr:col>
      <xdr:colOff>795866</xdr:colOff>
      <xdr:row>66</xdr:row>
      <xdr:rowOff>87086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50E93E1E-6B71-1344-9AAE-050470894F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0E836-685B-0A47-84C5-C2F9115E220D}">
  <dimension ref="A1:E20"/>
  <sheetViews>
    <sheetView tabSelected="1" workbookViewId="0">
      <selection activeCell="C3" sqref="C3:E20"/>
    </sheetView>
  </sheetViews>
  <sheetFormatPr baseColWidth="10" defaultRowHeight="15" x14ac:dyDescent="0.2"/>
  <cols>
    <col min="1" max="1" width="5.1640625" bestFit="1" customWidth="1"/>
    <col min="2" max="3" width="18.1640625" bestFit="1" customWidth="1"/>
    <col min="4" max="4" width="19.5" bestFit="1" customWidth="1"/>
    <col min="5" max="5" width="20" bestFit="1" customWidth="1"/>
  </cols>
  <sheetData>
    <row r="1" spans="1:5" ht="91" thickBot="1" x14ac:dyDescent="0.25">
      <c r="A1" s="128" t="s">
        <v>0</v>
      </c>
      <c r="B1" s="128" t="s">
        <v>96</v>
      </c>
      <c r="C1" s="128" t="s">
        <v>43</v>
      </c>
      <c r="D1" s="128" t="s">
        <v>42</v>
      </c>
      <c r="E1" s="128" t="s">
        <v>40</v>
      </c>
    </row>
    <row r="2" spans="1:5" ht="16" thickBot="1" x14ac:dyDescent="0.25">
      <c r="A2" s="127"/>
      <c r="B2" s="127" t="s">
        <v>69</v>
      </c>
      <c r="C2" s="127" t="s">
        <v>70</v>
      </c>
      <c r="D2" s="127" t="s">
        <v>71</v>
      </c>
      <c r="E2" s="127" t="s">
        <v>109</v>
      </c>
    </row>
    <row r="3" spans="1:5" x14ac:dyDescent="0.2">
      <c r="A3" s="126">
        <v>2006</v>
      </c>
      <c r="B3" s="114">
        <v>100</v>
      </c>
      <c r="C3" s="114">
        <v>3.25</v>
      </c>
      <c r="D3" s="114">
        <v>17.57</v>
      </c>
      <c r="E3" s="114">
        <v>29.3</v>
      </c>
    </row>
    <row r="4" spans="1:5" x14ac:dyDescent="0.2">
      <c r="A4" s="3">
        <v>2007</v>
      </c>
      <c r="B4" s="4">
        <v>135.4</v>
      </c>
      <c r="C4" s="4">
        <v>5</v>
      </c>
      <c r="D4" s="4">
        <v>24.6</v>
      </c>
      <c r="E4" s="4">
        <v>95.35</v>
      </c>
    </row>
    <row r="5" spans="1:5" x14ac:dyDescent="0.2">
      <c r="A5" s="3">
        <v>2008</v>
      </c>
      <c r="B5" s="4">
        <v>150</v>
      </c>
      <c r="C5" s="4">
        <v>9</v>
      </c>
      <c r="D5" s="4">
        <v>28.1</v>
      </c>
      <c r="E5" s="4">
        <v>128.31</v>
      </c>
    </row>
    <row r="6" spans="1:5" x14ac:dyDescent="0.2">
      <c r="A6" s="3">
        <v>2009</v>
      </c>
      <c r="B6" s="4">
        <v>158.34</v>
      </c>
      <c r="C6" s="4">
        <v>9.3000000000000007</v>
      </c>
      <c r="D6" s="4">
        <v>29.6</v>
      </c>
      <c r="E6" s="4">
        <v>150</v>
      </c>
    </row>
    <row r="7" spans="1:5" x14ac:dyDescent="0.2">
      <c r="A7" s="3">
        <v>2010</v>
      </c>
      <c r="B7" s="4">
        <v>170.255</v>
      </c>
      <c r="C7" s="4">
        <v>11</v>
      </c>
      <c r="D7" s="4">
        <v>39.9</v>
      </c>
      <c r="E7" s="4">
        <v>260</v>
      </c>
    </row>
    <row r="8" spans="1:5" x14ac:dyDescent="0.2">
      <c r="A8" s="3">
        <v>2011</v>
      </c>
      <c r="B8" s="4">
        <v>248.64</v>
      </c>
      <c r="C8" s="4">
        <v>18.7</v>
      </c>
      <c r="D8" s="4">
        <v>58</v>
      </c>
      <c r="E8" s="4">
        <v>330</v>
      </c>
    </row>
    <row r="9" spans="1:5" x14ac:dyDescent="0.2">
      <c r="A9" s="3">
        <v>2012</v>
      </c>
      <c r="B9" s="4">
        <v>293.66000000000003</v>
      </c>
      <c r="C9" s="4">
        <v>23.3</v>
      </c>
      <c r="D9" s="4">
        <v>66</v>
      </c>
      <c r="E9" s="4">
        <v>405</v>
      </c>
    </row>
    <row r="10" spans="1:5" x14ac:dyDescent="0.2">
      <c r="A10" s="3">
        <v>2013</v>
      </c>
      <c r="B10" s="4">
        <v>283.42</v>
      </c>
      <c r="C10" s="4">
        <v>27</v>
      </c>
      <c r="D10" s="4">
        <v>68</v>
      </c>
      <c r="E10" s="4">
        <v>544</v>
      </c>
    </row>
    <row r="11" spans="1:5" x14ac:dyDescent="0.2">
      <c r="A11" s="3">
        <v>2014</v>
      </c>
      <c r="B11" s="4">
        <v>292.14999999999998</v>
      </c>
      <c r="C11" s="4">
        <v>33.1</v>
      </c>
      <c r="D11" s="4">
        <v>71</v>
      </c>
      <c r="E11" s="4">
        <v>713</v>
      </c>
    </row>
    <row r="12" spans="1:5" x14ac:dyDescent="0.2">
      <c r="A12" s="3">
        <v>2015</v>
      </c>
      <c r="B12" s="4">
        <v>304.98</v>
      </c>
      <c r="C12" s="4">
        <v>39.700000000000003</v>
      </c>
      <c r="D12" s="4">
        <v>70.099999999999994</v>
      </c>
      <c r="E12" s="4">
        <v>760</v>
      </c>
    </row>
    <row r="13" spans="1:5" x14ac:dyDescent="0.2">
      <c r="A13" s="3">
        <v>2016</v>
      </c>
      <c r="B13" s="4">
        <v>284.67</v>
      </c>
      <c r="C13" s="4">
        <v>47.1</v>
      </c>
      <c r="D13" s="4">
        <v>73.09</v>
      </c>
      <c r="E13" s="4">
        <v>920</v>
      </c>
    </row>
    <row r="14" spans="1:5" x14ac:dyDescent="0.2">
      <c r="A14" s="3">
        <v>2017</v>
      </c>
      <c r="B14" s="4">
        <v>389.6</v>
      </c>
      <c r="C14" s="4">
        <v>57.7</v>
      </c>
      <c r="D14" s="4">
        <v>76.010000000000005</v>
      </c>
      <c r="E14" s="4">
        <v>1040</v>
      </c>
    </row>
    <row r="15" spans="1:5" x14ac:dyDescent="0.2">
      <c r="A15" s="3">
        <v>2018</v>
      </c>
      <c r="B15" s="4">
        <v>484</v>
      </c>
      <c r="C15" s="4">
        <v>64.5</v>
      </c>
      <c r="D15" s="4">
        <v>80.86</v>
      </c>
      <c r="E15" s="4">
        <v>1657</v>
      </c>
    </row>
    <row r="16" spans="1:5" x14ac:dyDescent="0.2">
      <c r="A16" s="3">
        <v>2019</v>
      </c>
      <c r="B16" s="4">
        <v>61.77</v>
      </c>
      <c r="C16" s="4">
        <v>64.7</v>
      </c>
      <c r="D16" s="4">
        <v>82.64</v>
      </c>
      <c r="E16" s="4">
        <v>2032</v>
      </c>
    </row>
    <row r="17" spans="1:5" x14ac:dyDescent="0.2">
      <c r="A17" s="3">
        <v>2020</v>
      </c>
      <c r="B17" s="4">
        <v>728.51</v>
      </c>
      <c r="C17" s="4">
        <v>70.3</v>
      </c>
      <c r="D17" s="4">
        <v>84.99</v>
      </c>
      <c r="E17" s="4">
        <v>3221</v>
      </c>
    </row>
    <row r="18" spans="1:5" x14ac:dyDescent="0.2">
      <c r="A18" s="3">
        <v>2021</v>
      </c>
      <c r="B18" s="4">
        <v>756.22</v>
      </c>
      <c r="C18" s="4">
        <v>74</v>
      </c>
      <c r="D18" s="4">
        <v>89</v>
      </c>
      <c r="E18" s="4">
        <v>3921</v>
      </c>
    </row>
    <row r="19" spans="1:5" x14ac:dyDescent="0.2">
      <c r="A19" s="3">
        <v>2022</v>
      </c>
      <c r="B19" s="4">
        <v>822.2</v>
      </c>
      <c r="C19" s="4">
        <v>77.7</v>
      </c>
      <c r="D19" s="4">
        <v>88.2</v>
      </c>
      <c r="E19" s="4">
        <v>4986</v>
      </c>
    </row>
    <row r="20" spans="1:5" x14ac:dyDescent="0.2">
      <c r="A20" s="3">
        <v>2023</v>
      </c>
      <c r="B20" s="4">
        <v>1161.5999999999999</v>
      </c>
      <c r="C20" s="4">
        <v>83.4</v>
      </c>
      <c r="D20" s="4">
        <v>89.2</v>
      </c>
      <c r="E20" s="4">
        <v>6359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3"/>
  <sheetViews>
    <sheetView topLeftCell="M1" zoomScale="84" workbookViewId="0">
      <selection activeCell="AG45" sqref="AG45"/>
    </sheetView>
  </sheetViews>
  <sheetFormatPr baseColWidth="10" defaultColWidth="8.83203125" defaultRowHeight="15" x14ac:dyDescent="0.2"/>
  <cols>
    <col min="1" max="1" width="5.5" bestFit="1" customWidth="1"/>
    <col min="2" max="2" width="17.1640625" bestFit="1" customWidth="1"/>
    <col min="3" max="3" width="13.1640625" bestFit="1" customWidth="1"/>
    <col min="4" max="4" width="14.83203125" bestFit="1" customWidth="1"/>
    <col min="5" max="5" width="16" bestFit="1" customWidth="1"/>
    <col min="6" max="6" width="11.33203125" bestFit="1" customWidth="1"/>
    <col min="7" max="8" width="7.83203125" bestFit="1" customWidth="1"/>
    <col min="9" max="9" width="13" customWidth="1"/>
    <col min="10" max="10" width="12.5" bestFit="1" customWidth="1"/>
    <col min="11" max="11" width="13.5" bestFit="1" customWidth="1"/>
    <col min="12" max="13" width="12.5" bestFit="1" customWidth="1"/>
    <col min="14" max="14" width="9" bestFit="1" customWidth="1"/>
    <col min="15" max="15" width="5.83203125" bestFit="1" customWidth="1"/>
    <col min="16" max="16" width="7.83203125" bestFit="1" customWidth="1"/>
    <col min="17" max="17" width="9.6640625" bestFit="1" customWidth="1"/>
    <col min="18" max="18" width="12.5" bestFit="1" customWidth="1"/>
    <col min="19" max="19" width="13.5" bestFit="1" customWidth="1"/>
    <col min="20" max="21" width="12.5" bestFit="1" customWidth="1"/>
    <col min="22" max="22" width="9.83203125" bestFit="1" customWidth="1"/>
    <col min="23" max="23" width="5.83203125" customWidth="1"/>
    <col min="24" max="24" width="7.83203125" bestFit="1" customWidth="1"/>
    <col min="25" max="25" width="9.6640625" bestFit="1" customWidth="1"/>
    <col min="26" max="26" width="12.5" bestFit="1" customWidth="1"/>
    <col min="27" max="27" width="13.5" bestFit="1" customWidth="1"/>
    <col min="28" max="29" width="12.5" bestFit="1" customWidth="1"/>
    <col min="30" max="31" width="8.83203125" customWidth="1"/>
  </cols>
  <sheetData>
    <row r="1" spans="1:26" ht="120" x14ac:dyDescent="0.2">
      <c r="A1" s="2" t="s">
        <v>0</v>
      </c>
      <c r="B1" s="2" t="s">
        <v>96</v>
      </c>
      <c r="C1" s="2" t="s">
        <v>43</v>
      </c>
      <c r="D1" s="2" t="s">
        <v>42</v>
      </c>
      <c r="E1" s="2" t="s">
        <v>40</v>
      </c>
    </row>
    <row r="2" spans="1:26" x14ac:dyDescent="0.2">
      <c r="A2" s="3">
        <v>2006</v>
      </c>
      <c r="B2" s="4">
        <v>100</v>
      </c>
      <c r="C2" s="4">
        <v>3.25</v>
      </c>
      <c r="D2" s="4">
        <v>17.57</v>
      </c>
      <c r="E2" s="4">
        <v>29.3</v>
      </c>
    </row>
    <row r="3" spans="1:26" x14ac:dyDescent="0.2">
      <c r="A3" s="3">
        <v>2007</v>
      </c>
      <c r="B3" s="4">
        <v>135.4</v>
      </c>
      <c r="C3" s="4">
        <v>5</v>
      </c>
      <c r="D3" s="4">
        <v>24.6</v>
      </c>
      <c r="E3" s="4">
        <v>95.35</v>
      </c>
    </row>
    <row r="4" spans="1:26" x14ac:dyDescent="0.2">
      <c r="A4" s="3">
        <v>2008</v>
      </c>
      <c r="B4" s="4">
        <v>150</v>
      </c>
      <c r="C4" s="4">
        <v>9</v>
      </c>
      <c r="D4" s="4">
        <v>28.1</v>
      </c>
      <c r="E4" s="4">
        <v>128.31</v>
      </c>
    </row>
    <row r="5" spans="1:26" x14ac:dyDescent="0.2">
      <c r="A5" s="3">
        <v>2009</v>
      </c>
      <c r="B5" s="4">
        <v>158.34</v>
      </c>
      <c r="C5" s="4">
        <v>9.3000000000000007</v>
      </c>
      <c r="D5" s="4">
        <v>29.6</v>
      </c>
      <c r="E5" s="4">
        <v>150</v>
      </c>
    </row>
    <row r="6" spans="1:26" x14ac:dyDescent="0.2">
      <c r="A6" s="3">
        <v>2010</v>
      </c>
      <c r="B6" s="4">
        <v>170.255</v>
      </c>
      <c r="C6" s="4">
        <v>11</v>
      </c>
      <c r="D6" s="4">
        <v>39.9</v>
      </c>
      <c r="E6" s="4">
        <v>260</v>
      </c>
    </row>
    <row r="7" spans="1:26" x14ac:dyDescent="0.2">
      <c r="A7" s="3">
        <v>2011</v>
      </c>
      <c r="B7" s="4">
        <v>248.64</v>
      </c>
      <c r="C7" s="4">
        <v>18.7</v>
      </c>
      <c r="D7" s="4">
        <v>58</v>
      </c>
      <c r="E7" s="4">
        <v>330</v>
      </c>
    </row>
    <row r="8" spans="1:26" x14ac:dyDescent="0.2">
      <c r="A8" s="3">
        <f>A7+1</f>
        <v>2012</v>
      </c>
      <c r="B8" s="4">
        <v>293.66000000000003</v>
      </c>
      <c r="C8" s="4">
        <v>23.3</v>
      </c>
      <c r="D8" s="4">
        <v>66</v>
      </c>
      <c r="E8" s="4">
        <v>405</v>
      </c>
    </row>
    <row r="9" spans="1:26" x14ac:dyDescent="0.2">
      <c r="A9" s="3">
        <f t="shared" ref="A9:A19" si="0">A8+1</f>
        <v>2013</v>
      </c>
      <c r="B9" s="4">
        <v>283.42</v>
      </c>
      <c r="C9" s="4">
        <v>27</v>
      </c>
      <c r="D9" s="4">
        <v>68</v>
      </c>
      <c r="E9" s="4">
        <v>544</v>
      </c>
    </row>
    <row r="10" spans="1:26" x14ac:dyDescent="0.2">
      <c r="A10" s="3">
        <f t="shared" si="0"/>
        <v>2014</v>
      </c>
      <c r="B10" s="4">
        <v>292.14999999999998</v>
      </c>
      <c r="C10" s="4">
        <v>33.1</v>
      </c>
      <c r="D10" s="4">
        <v>71</v>
      </c>
      <c r="E10" s="4">
        <v>713</v>
      </c>
    </row>
    <row r="11" spans="1:26" x14ac:dyDescent="0.2">
      <c r="A11" s="3">
        <f t="shared" si="0"/>
        <v>2015</v>
      </c>
      <c r="B11" s="4">
        <v>304.98</v>
      </c>
      <c r="C11" s="4">
        <v>39.700000000000003</v>
      </c>
      <c r="D11" s="4">
        <v>70.099999999999994</v>
      </c>
      <c r="E11" s="4">
        <v>760</v>
      </c>
    </row>
    <row r="12" spans="1:26" x14ac:dyDescent="0.2">
      <c r="A12" s="3">
        <f t="shared" si="0"/>
        <v>2016</v>
      </c>
      <c r="B12" s="4">
        <v>284.67</v>
      </c>
      <c r="C12" s="4">
        <v>47.1</v>
      </c>
      <c r="D12" s="4">
        <v>73.09</v>
      </c>
      <c r="E12" s="4">
        <v>920</v>
      </c>
    </row>
    <row r="13" spans="1:26" x14ac:dyDescent="0.2">
      <c r="A13" s="3">
        <f t="shared" si="0"/>
        <v>2017</v>
      </c>
      <c r="B13" s="4">
        <v>389.6</v>
      </c>
      <c r="C13" s="4">
        <v>57.7</v>
      </c>
      <c r="D13" s="4">
        <v>76.010000000000005</v>
      </c>
      <c r="E13" s="4">
        <v>1040</v>
      </c>
      <c r="I13" s="21" t="s">
        <v>8</v>
      </c>
      <c r="J13" s="13">
        <f>CORREL(B2:B19,E2:E19)</f>
        <v>0.9296089735452584</v>
      </c>
      <c r="Q13" s="21" t="s">
        <v>8</v>
      </c>
      <c r="R13" s="13">
        <f>CORREL(C2:C19,E2:E19)</f>
        <v>0.86391923238657209</v>
      </c>
      <c r="Y13" s="21" t="s">
        <v>8</v>
      </c>
      <c r="Z13" s="13">
        <f>CORREL(D2:D19, E2:E19)</f>
        <v>0.70670921584586655</v>
      </c>
    </row>
    <row r="14" spans="1:26" x14ac:dyDescent="0.2">
      <c r="A14" s="3">
        <f t="shared" si="0"/>
        <v>2018</v>
      </c>
      <c r="B14" s="4">
        <v>484</v>
      </c>
      <c r="C14" s="4">
        <v>64.5</v>
      </c>
      <c r="D14" s="4">
        <v>80.86</v>
      </c>
      <c r="E14" s="4">
        <v>1657</v>
      </c>
      <c r="I14" s="22" t="s">
        <v>9</v>
      </c>
      <c r="J14" s="14">
        <f>K43/SQRT(L43*M43)</f>
        <v>0.92960897354525851</v>
      </c>
      <c r="Q14" s="22" t="s">
        <v>9</v>
      </c>
      <c r="R14" s="14">
        <f>S43/SQRT(T43*U43)</f>
        <v>0.86391923238657198</v>
      </c>
      <c r="Y14" s="22" t="s">
        <v>9</v>
      </c>
      <c r="Z14" s="14">
        <f>AA43/SQRT(AB43*AC43)</f>
        <v>0.70670921584586655</v>
      </c>
    </row>
    <row r="15" spans="1:26" ht="48" x14ac:dyDescent="0.2">
      <c r="A15" s="3">
        <f t="shared" si="0"/>
        <v>2019</v>
      </c>
      <c r="B15" s="4">
        <v>61.77</v>
      </c>
      <c r="C15" s="4">
        <v>64.7</v>
      </c>
      <c r="D15" s="4">
        <v>82.64</v>
      </c>
      <c r="E15" s="4">
        <v>2032</v>
      </c>
      <c r="I15" s="23" t="s">
        <v>13</v>
      </c>
      <c r="J15" s="13">
        <f>STDEV(B2:B19)</f>
        <v>299.2474126404054</v>
      </c>
      <c r="Q15" s="23" t="s">
        <v>11</v>
      </c>
      <c r="R15" s="13">
        <f>STDEV(C2:C19)</f>
        <v>27.888671212987958</v>
      </c>
      <c r="Y15" s="23" t="s">
        <v>12</v>
      </c>
      <c r="Z15" s="13">
        <f>STDEV(D2:D19)</f>
        <v>24.296450936393445</v>
      </c>
    </row>
    <row r="16" spans="1:26" ht="48" x14ac:dyDescent="0.2">
      <c r="A16" s="3">
        <f t="shared" si="0"/>
        <v>2020</v>
      </c>
      <c r="B16" s="4">
        <v>728.51</v>
      </c>
      <c r="C16" s="4">
        <v>70.3</v>
      </c>
      <c r="D16" s="4">
        <v>84.99</v>
      </c>
      <c r="E16" s="4">
        <v>3221</v>
      </c>
      <c r="I16" s="23" t="s">
        <v>10</v>
      </c>
      <c r="J16" s="13">
        <f>J15*SQRT((1-J13^2)*(J17-1)/(J17-2))</f>
        <v>113.68107653653634</v>
      </c>
      <c r="Q16" s="23" t="s">
        <v>10</v>
      </c>
      <c r="R16" s="13">
        <f>R15*SQRT((1-R13^2)*(R17-1)/(R17-2))</f>
        <v>14.477854630233296</v>
      </c>
      <c r="X16" s="1"/>
      <c r="Y16" s="23" t="s">
        <v>10</v>
      </c>
      <c r="Z16" s="13">
        <f>Z15*SQRT((1-Z13^2)*(Z17-1)/(Z17-2))</f>
        <v>17.718880692497667</v>
      </c>
    </row>
    <row r="17" spans="1:29" ht="32" x14ac:dyDescent="0.2">
      <c r="A17" s="3">
        <f t="shared" si="0"/>
        <v>2021</v>
      </c>
      <c r="B17" s="4">
        <v>756.22</v>
      </c>
      <c r="C17" s="4">
        <v>74</v>
      </c>
      <c r="D17" s="4">
        <v>89</v>
      </c>
      <c r="E17" s="4">
        <v>3921</v>
      </c>
      <c r="I17" s="23" t="s">
        <v>14</v>
      </c>
      <c r="J17" s="13">
        <v>18</v>
      </c>
      <c r="Q17" s="23" t="s">
        <v>14</v>
      </c>
      <c r="R17" s="13">
        <v>18</v>
      </c>
      <c r="X17" s="1"/>
      <c r="Y17" s="23" t="s">
        <v>14</v>
      </c>
      <c r="Z17" s="13">
        <v>18</v>
      </c>
    </row>
    <row r="18" spans="1:29" ht="64" x14ac:dyDescent="0.2">
      <c r="A18" s="3">
        <f t="shared" si="0"/>
        <v>2022</v>
      </c>
      <c r="B18" s="4">
        <v>822.2</v>
      </c>
      <c r="C18" s="4">
        <v>77.7</v>
      </c>
      <c r="D18" s="4">
        <v>88.2</v>
      </c>
      <c r="E18" s="4">
        <v>4986</v>
      </c>
      <c r="I18" s="23" t="s">
        <v>15</v>
      </c>
      <c r="J18" s="13">
        <f>J13^2</f>
        <v>0.86417284369586889</v>
      </c>
      <c r="Q18" s="23" t="s">
        <v>15</v>
      </c>
      <c r="R18" s="13">
        <f>R13^2</f>
        <v>0.74635644008740398</v>
      </c>
      <c r="Y18" s="24" t="s">
        <v>15</v>
      </c>
      <c r="Z18" s="14">
        <f>Z13^2</f>
        <v>0.49943791576147961</v>
      </c>
    </row>
    <row r="19" spans="1:29" x14ac:dyDescent="0.2">
      <c r="A19" s="3">
        <f t="shared" si="0"/>
        <v>2023</v>
      </c>
      <c r="B19" s="4">
        <v>1161.5999999999999</v>
      </c>
      <c r="C19" s="4">
        <v>83.4</v>
      </c>
      <c r="D19" s="4">
        <v>89.2</v>
      </c>
      <c r="E19" s="4">
        <v>6359</v>
      </c>
      <c r="Y19" s="19"/>
      <c r="Z19" s="20"/>
    </row>
    <row r="20" spans="1:29" x14ac:dyDescent="0.2">
      <c r="B20" s="1"/>
      <c r="Y20" s="15"/>
      <c r="Z20" s="16"/>
    </row>
    <row r="21" spans="1:29" x14ac:dyDescent="0.2">
      <c r="Y21" s="18"/>
      <c r="Z21" s="17"/>
    </row>
    <row r="22" spans="1:29" ht="15" customHeight="1" x14ac:dyDescent="0.2">
      <c r="G22" s="140" t="s">
        <v>44</v>
      </c>
      <c r="H22" s="141"/>
      <c r="I22" s="141"/>
      <c r="J22" s="141"/>
      <c r="K22" s="141"/>
      <c r="L22" s="141"/>
      <c r="M22" s="142"/>
      <c r="O22" s="140" t="s">
        <v>45</v>
      </c>
      <c r="P22" s="141"/>
      <c r="Q22" s="141"/>
      <c r="R22" s="141"/>
      <c r="S22" s="141"/>
      <c r="T22" s="141"/>
      <c r="U22" s="142"/>
      <c r="W22" s="137" t="s">
        <v>46</v>
      </c>
      <c r="X22" s="138"/>
      <c r="Y22" s="138"/>
      <c r="Z22" s="138"/>
      <c r="AA22" s="138"/>
      <c r="AB22" s="138"/>
      <c r="AC22" s="139"/>
    </row>
    <row r="23" spans="1:29" x14ac:dyDescent="0.2">
      <c r="G23" s="6" t="s">
        <v>1</v>
      </c>
      <c r="H23" s="6" t="s">
        <v>2</v>
      </c>
      <c r="I23" s="6" t="s">
        <v>3</v>
      </c>
      <c r="J23" s="6" t="s">
        <v>4</v>
      </c>
      <c r="K23" s="6" t="s">
        <v>5</v>
      </c>
      <c r="L23" s="6" t="s">
        <v>6</v>
      </c>
      <c r="M23" s="6" t="s">
        <v>7</v>
      </c>
      <c r="O23" s="6" t="s">
        <v>1</v>
      </c>
      <c r="P23" s="6" t="s">
        <v>2</v>
      </c>
      <c r="Q23" s="6" t="s">
        <v>3</v>
      </c>
      <c r="R23" s="6" t="s">
        <v>4</v>
      </c>
      <c r="S23" s="6" t="s">
        <v>5</v>
      </c>
      <c r="T23" s="6" t="s">
        <v>6</v>
      </c>
      <c r="U23" s="6" t="s">
        <v>7</v>
      </c>
      <c r="W23" s="6" t="s">
        <v>1</v>
      </c>
      <c r="X23" s="6" t="s">
        <v>2</v>
      </c>
      <c r="Y23" s="6" t="s">
        <v>3</v>
      </c>
      <c r="Z23" s="6" t="s">
        <v>4</v>
      </c>
      <c r="AA23" s="6" t="s">
        <v>5</v>
      </c>
      <c r="AB23" s="6" t="s">
        <v>6</v>
      </c>
      <c r="AC23" s="6" t="s">
        <v>7</v>
      </c>
    </row>
    <row r="24" spans="1:29" x14ac:dyDescent="0.2">
      <c r="G24" s="4">
        <f t="shared" ref="G24:G41" si="1">B2</f>
        <v>100</v>
      </c>
      <c r="H24" s="4">
        <f t="shared" ref="H24:H41" si="2">E2</f>
        <v>29.3</v>
      </c>
      <c r="I24" s="7">
        <f t="shared" ref="I24:I41" si="3">G24-$G$43</f>
        <v>-279.18972222222226</v>
      </c>
      <c r="J24" s="7">
        <f t="shared" ref="J24:J41" si="4">H24-$H$43</f>
        <v>-1501.308888888889</v>
      </c>
      <c r="K24" s="5">
        <f t="shared" ref="K24:K29" si="5">I24*J24</f>
        <v>419150.01165864203</v>
      </c>
      <c r="L24" s="5">
        <f t="shared" ref="L24:L29" si="6">POWER(I24, 2)</f>
        <v>77946.900994521624</v>
      </c>
      <c r="M24" s="5">
        <f t="shared" ref="M24:M29" si="7">POWER(J24,2)</f>
        <v>2253928.3798567904</v>
      </c>
      <c r="O24" s="4">
        <f t="shared" ref="O24:O41" si="8">C2</f>
        <v>3.25</v>
      </c>
      <c r="P24" s="4">
        <f t="shared" ref="P24:P41" si="9">E2</f>
        <v>29.3</v>
      </c>
      <c r="Q24" s="7">
        <f t="shared" ref="Q24:Q41" si="10">O24-$O$43</f>
        <v>-36.680555555555564</v>
      </c>
      <c r="R24" s="7">
        <f t="shared" ref="R24:R41" si="11">P24-$P$43</f>
        <v>-1501.308888888889</v>
      </c>
      <c r="S24" s="5">
        <f>Q24*R24</f>
        <v>55068.844104938289</v>
      </c>
      <c r="T24" s="5">
        <f>POWER(Q24, 2)</f>
        <v>1345.4631558641981</v>
      </c>
      <c r="U24" s="5">
        <f>POWER(R24,2)</f>
        <v>2253928.3798567904</v>
      </c>
      <c r="W24" s="4">
        <f t="shared" ref="W24:W41" si="12">D2</f>
        <v>17.57</v>
      </c>
      <c r="X24" s="4">
        <f t="shared" ref="X24:X41" si="13">E2</f>
        <v>29.3</v>
      </c>
      <c r="Y24" s="7">
        <f t="shared" ref="Y24:Y41" si="14">W24-$W$43</f>
        <v>-45.588888888888896</v>
      </c>
      <c r="Z24" s="7">
        <f t="shared" ref="Z24:Z41" si="15">X24-$X$43</f>
        <v>-1501.308888888889</v>
      </c>
      <c r="AA24" s="5">
        <f t="shared" ref="AA24:AA28" si="16">Y24*Z24</f>
        <v>68443.004123456805</v>
      </c>
      <c r="AB24" s="5">
        <f t="shared" ref="AB24:AB28" si="17">POWER(Y24, 2)</f>
        <v>2078.3467901234576</v>
      </c>
      <c r="AC24" s="5">
        <f t="shared" ref="AC24:AC28" si="18">POWER(Z24,2)</f>
        <v>2253928.3798567904</v>
      </c>
    </row>
    <row r="25" spans="1:29" x14ac:dyDescent="0.2">
      <c r="G25" s="4">
        <f t="shared" si="1"/>
        <v>135.4</v>
      </c>
      <c r="H25" s="4">
        <f t="shared" si="2"/>
        <v>95.35</v>
      </c>
      <c r="I25" s="7">
        <f t="shared" si="3"/>
        <v>-243.78972222222225</v>
      </c>
      <c r="J25" s="7">
        <f t="shared" si="4"/>
        <v>-1435.258888888889</v>
      </c>
      <c r="K25" s="5">
        <f t="shared" si="5"/>
        <v>349901.36583919759</v>
      </c>
      <c r="L25" s="5">
        <f t="shared" si="6"/>
        <v>59433.428661188285</v>
      </c>
      <c r="M25" s="5">
        <f t="shared" si="7"/>
        <v>2059968.0781345684</v>
      </c>
      <c r="O25" s="4">
        <f t="shared" si="8"/>
        <v>5</v>
      </c>
      <c r="P25" s="4">
        <f t="shared" si="9"/>
        <v>95.35</v>
      </c>
      <c r="Q25" s="7">
        <f t="shared" si="10"/>
        <v>-34.930555555555564</v>
      </c>
      <c r="R25" s="7">
        <f t="shared" si="11"/>
        <v>-1435.258888888889</v>
      </c>
      <c r="S25" s="5">
        <f t="shared" ref="S25:S28" si="19">Q25*R25</f>
        <v>50134.390354938289</v>
      </c>
      <c r="T25" s="5">
        <f t="shared" ref="T25:T28" si="20">POWER(Q25, 2)</f>
        <v>1220.1437114197538</v>
      </c>
      <c r="U25" s="5">
        <f t="shared" ref="U25:U28" si="21">POWER(R25,2)</f>
        <v>2059968.0781345684</v>
      </c>
      <c r="W25" s="4">
        <f t="shared" si="12"/>
        <v>24.6</v>
      </c>
      <c r="X25" s="4">
        <f t="shared" si="13"/>
        <v>95.35</v>
      </c>
      <c r="Y25" s="7">
        <f t="shared" si="14"/>
        <v>-38.558888888888895</v>
      </c>
      <c r="Z25" s="7">
        <f t="shared" si="15"/>
        <v>-1435.258888888889</v>
      </c>
      <c r="AA25" s="5">
        <f t="shared" si="16"/>
        <v>55341.988023456805</v>
      </c>
      <c r="AB25" s="5">
        <f t="shared" si="17"/>
        <v>1486.7879123456794</v>
      </c>
      <c r="AC25" s="5">
        <f t="shared" si="18"/>
        <v>2059968.0781345684</v>
      </c>
    </row>
    <row r="26" spans="1:29" x14ac:dyDescent="0.2">
      <c r="G26" s="4">
        <f t="shared" si="1"/>
        <v>150</v>
      </c>
      <c r="H26" s="4">
        <f t="shared" si="2"/>
        <v>128.31</v>
      </c>
      <c r="I26" s="7">
        <f t="shared" si="3"/>
        <v>-229.18972222222226</v>
      </c>
      <c r="J26" s="7">
        <f t="shared" si="4"/>
        <v>-1402.298888888889</v>
      </c>
      <c r="K26" s="5">
        <f t="shared" si="5"/>
        <v>321392.4928169754</v>
      </c>
      <c r="L26" s="5">
        <f t="shared" si="6"/>
        <v>52527.928772299398</v>
      </c>
      <c r="M26" s="5">
        <f t="shared" si="7"/>
        <v>1966442.1737790126</v>
      </c>
      <c r="O26" s="4">
        <f t="shared" si="8"/>
        <v>9</v>
      </c>
      <c r="P26" s="4">
        <f t="shared" si="9"/>
        <v>128.31</v>
      </c>
      <c r="Q26" s="7">
        <f t="shared" si="10"/>
        <v>-30.930555555555564</v>
      </c>
      <c r="R26" s="7">
        <f t="shared" si="11"/>
        <v>-1402.298888888889</v>
      </c>
      <c r="S26" s="5">
        <f t="shared" si="19"/>
        <v>43373.88368827162</v>
      </c>
      <c r="T26" s="5">
        <f t="shared" si="20"/>
        <v>956.69926697530923</v>
      </c>
      <c r="U26" s="5">
        <f t="shared" si="21"/>
        <v>1966442.1737790126</v>
      </c>
      <c r="W26" s="4">
        <f t="shared" si="12"/>
        <v>28.1</v>
      </c>
      <c r="X26" s="4">
        <f t="shared" si="13"/>
        <v>128.31</v>
      </c>
      <c r="Y26" s="7">
        <f t="shared" si="14"/>
        <v>-35.058888888888895</v>
      </c>
      <c r="Z26" s="7">
        <f t="shared" si="15"/>
        <v>-1402.298888888889</v>
      </c>
      <c r="AA26" s="5">
        <f t="shared" si="16"/>
        <v>49163.040934567915</v>
      </c>
      <c r="AB26" s="5">
        <f t="shared" si="17"/>
        <v>1229.1256901234572</v>
      </c>
      <c r="AC26" s="5">
        <f t="shared" si="18"/>
        <v>1966442.1737790126</v>
      </c>
    </row>
    <row r="27" spans="1:29" x14ac:dyDescent="0.2">
      <c r="G27" s="4">
        <f t="shared" si="1"/>
        <v>158.34</v>
      </c>
      <c r="H27" s="4">
        <f t="shared" si="2"/>
        <v>150</v>
      </c>
      <c r="I27" s="7">
        <f t="shared" si="3"/>
        <v>-220.84972222222225</v>
      </c>
      <c r="J27" s="7">
        <f t="shared" si="4"/>
        <v>-1380.6088888888889</v>
      </c>
      <c r="K27" s="5">
        <f t="shared" si="5"/>
        <v>304907.08960864204</v>
      </c>
      <c r="L27" s="5">
        <f t="shared" si="6"/>
        <v>48774.59980563273</v>
      </c>
      <c r="M27" s="5">
        <f t="shared" si="7"/>
        <v>1906080.9040790126</v>
      </c>
      <c r="O27" s="4">
        <f t="shared" si="8"/>
        <v>9.3000000000000007</v>
      </c>
      <c r="P27" s="4">
        <f t="shared" si="9"/>
        <v>150</v>
      </c>
      <c r="Q27" s="7">
        <f t="shared" si="10"/>
        <v>-30.630555555555564</v>
      </c>
      <c r="R27" s="7">
        <f t="shared" si="11"/>
        <v>-1380.6088888888889</v>
      </c>
      <c r="S27" s="5">
        <f t="shared" si="19"/>
        <v>42288.817271604952</v>
      </c>
      <c r="T27" s="5">
        <f t="shared" si="20"/>
        <v>938.23093364197575</v>
      </c>
      <c r="U27" s="5">
        <f t="shared" si="21"/>
        <v>1906080.9040790126</v>
      </c>
      <c r="W27" s="4">
        <f t="shared" si="12"/>
        <v>29.6</v>
      </c>
      <c r="X27" s="4">
        <f t="shared" si="13"/>
        <v>150</v>
      </c>
      <c r="Y27" s="7">
        <f t="shared" si="14"/>
        <v>-33.558888888888895</v>
      </c>
      <c r="Z27" s="7">
        <f t="shared" si="15"/>
        <v>-1380.6088888888889</v>
      </c>
      <c r="AA27" s="5">
        <f t="shared" si="16"/>
        <v>46331.700301234574</v>
      </c>
      <c r="AB27" s="5">
        <f t="shared" si="17"/>
        <v>1126.1990234567904</v>
      </c>
      <c r="AC27" s="5">
        <f t="shared" si="18"/>
        <v>1906080.9040790126</v>
      </c>
    </row>
    <row r="28" spans="1:29" x14ac:dyDescent="0.2">
      <c r="G28" s="4">
        <f t="shared" si="1"/>
        <v>170.255</v>
      </c>
      <c r="H28" s="4">
        <f t="shared" si="2"/>
        <v>260</v>
      </c>
      <c r="I28" s="7">
        <f t="shared" si="3"/>
        <v>-208.93472222222226</v>
      </c>
      <c r="J28" s="7">
        <f t="shared" si="4"/>
        <v>-1270.6088888888889</v>
      </c>
      <c r="K28" s="5">
        <f t="shared" si="5"/>
        <v>265474.3152530865</v>
      </c>
      <c r="L28" s="5">
        <f t="shared" si="6"/>
        <v>43653.718150077177</v>
      </c>
      <c r="M28" s="5">
        <f t="shared" si="7"/>
        <v>1614446.9485234569</v>
      </c>
      <c r="O28" s="4">
        <f t="shared" si="8"/>
        <v>11</v>
      </c>
      <c r="P28" s="4">
        <f t="shared" si="9"/>
        <v>260</v>
      </c>
      <c r="Q28" s="7">
        <f t="shared" si="10"/>
        <v>-28.930555555555564</v>
      </c>
      <c r="R28" s="7">
        <f t="shared" si="11"/>
        <v>-1270.6088888888889</v>
      </c>
      <c r="S28" s="5">
        <f t="shared" si="19"/>
        <v>36759.421049382727</v>
      </c>
      <c r="T28" s="5">
        <f t="shared" si="20"/>
        <v>836.97704475308694</v>
      </c>
      <c r="U28" s="5">
        <f t="shared" si="21"/>
        <v>1614446.9485234569</v>
      </c>
      <c r="W28" s="4">
        <f t="shared" si="12"/>
        <v>39.9</v>
      </c>
      <c r="X28" s="4">
        <f t="shared" si="13"/>
        <v>260</v>
      </c>
      <c r="Y28" s="7">
        <f t="shared" si="14"/>
        <v>-23.258888888888897</v>
      </c>
      <c r="Z28" s="7">
        <f t="shared" si="15"/>
        <v>-1270.6088888888889</v>
      </c>
      <c r="AA28" s="5">
        <f t="shared" si="16"/>
        <v>29552.950967901248</v>
      </c>
      <c r="AB28" s="5">
        <f t="shared" si="17"/>
        <v>540.97591234567938</v>
      </c>
      <c r="AC28" s="5">
        <f t="shared" si="18"/>
        <v>1614446.9485234569</v>
      </c>
    </row>
    <row r="29" spans="1:29" x14ac:dyDescent="0.2">
      <c r="G29" s="4">
        <f t="shared" si="1"/>
        <v>248.64</v>
      </c>
      <c r="H29" s="4">
        <f t="shared" si="2"/>
        <v>330</v>
      </c>
      <c r="I29" s="7">
        <f t="shared" si="3"/>
        <v>-130.54972222222227</v>
      </c>
      <c r="J29" s="7">
        <f t="shared" si="4"/>
        <v>-1200.6088888888889</v>
      </c>
      <c r="K29" s="5">
        <f t="shared" si="5"/>
        <v>156739.15694197538</v>
      </c>
      <c r="L29" s="5">
        <f t="shared" si="6"/>
        <v>17043.229972299396</v>
      </c>
      <c r="M29" s="5">
        <f t="shared" si="7"/>
        <v>1441461.7040790124</v>
      </c>
      <c r="O29" s="4">
        <f t="shared" si="8"/>
        <v>18.7</v>
      </c>
      <c r="P29" s="4">
        <f t="shared" si="9"/>
        <v>330</v>
      </c>
      <c r="Q29" s="7">
        <f t="shared" si="10"/>
        <v>-21.230555555555565</v>
      </c>
      <c r="R29" s="7">
        <f t="shared" si="11"/>
        <v>-1200.6088888888889</v>
      </c>
      <c r="S29" s="5">
        <f>Q29*R29</f>
        <v>25489.593716049396</v>
      </c>
      <c r="T29" s="5">
        <f>POWER(Q29, 2)</f>
        <v>450.73648919753128</v>
      </c>
      <c r="U29" s="5">
        <f>POWER(R29,2)</f>
        <v>1441461.7040790124</v>
      </c>
      <c r="W29" s="4">
        <f t="shared" si="12"/>
        <v>58</v>
      </c>
      <c r="X29" s="4">
        <f t="shared" si="13"/>
        <v>330</v>
      </c>
      <c r="Y29" s="7">
        <f t="shared" si="14"/>
        <v>-5.158888888888896</v>
      </c>
      <c r="Z29" s="7">
        <f t="shared" si="15"/>
        <v>-1200.6088888888889</v>
      </c>
      <c r="AA29" s="5">
        <f t="shared" ref="AA29:AA40" si="22">Y29*Z29</f>
        <v>6193.8078567901321</v>
      </c>
      <c r="AB29" s="5">
        <f t="shared" ref="AB29:AB40" si="23">POWER(Y29, 2)</f>
        <v>26.614134567901306</v>
      </c>
      <c r="AC29" s="5">
        <f t="shared" ref="AC29:AC40" si="24">POWER(Z29,2)</f>
        <v>1441461.7040790124</v>
      </c>
    </row>
    <row r="30" spans="1:29" x14ac:dyDescent="0.2">
      <c r="G30" s="4">
        <f t="shared" si="1"/>
        <v>293.66000000000003</v>
      </c>
      <c r="H30" s="4">
        <f t="shared" si="2"/>
        <v>405</v>
      </c>
      <c r="I30" s="7">
        <f t="shared" si="3"/>
        <v>-85.529722222222233</v>
      </c>
      <c r="J30" s="7">
        <f t="shared" si="4"/>
        <v>-1125.6088888888889</v>
      </c>
      <c r="K30" s="5">
        <f t="shared" ref="K30:K41" si="25">I30*J30</f>
        <v>96273.015597530888</v>
      </c>
      <c r="L30" s="5">
        <f t="shared" ref="L30:L41" si="26">POWER(I30, 2)</f>
        <v>7315.333383410496</v>
      </c>
      <c r="M30" s="5">
        <f t="shared" ref="M30:M41" si="27">POWER(J30,2)</f>
        <v>1266995.3707456791</v>
      </c>
      <c r="O30" s="4">
        <f t="shared" si="8"/>
        <v>23.3</v>
      </c>
      <c r="P30" s="4">
        <f t="shared" si="9"/>
        <v>405</v>
      </c>
      <c r="Q30" s="7">
        <f t="shared" si="10"/>
        <v>-16.630555555555564</v>
      </c>
      <c r="R30" s="7">
        <f t="shared" si="11"/>
        <v>-1125.6088888888889</v>
      </c>
      <c r="S30" s="5">
        <f t="shared" ref="S30:S40" si="28">Q30*R30</f>
        <v>18719.501160493837</v>
      </c>
      <c r="T30" s="5">
        <f t="shared" ref="T30:T40" si="29">POWER(Q30, 2)</f>
        <v>276.57537808642002</v>
      </c>
      <c r="U30" s="5">
        <f t="shared" ref="U30:U40" si="30">POWER(R30,2)</f>
        <v>1266995.3707456791</v>
      </c>
      <c r="W30" s="4">
        <f t="shared" si="12"/>
        <v>66</v>
      </c>
      <c r="X30" s="4">
        <f t="shared" si="13"/>
        <v>405</v>
      </c>
      <c r="Y30" s="7">
        <f t="shared" si="14"/>
        <v>2.841111111111104</v>
      </c>
      <c r="Z30" s="7">
        <f t="shared" si="15"/>
        <v>-1125.6088888888889</v>
      </c>
      <c r="AA30" s="5">
        <f t="shared" si="22"/>
        <v>-3197.9799209876464</v>
      </c>
      <c r="AB30" s="5">
        <f t="shared" si="23"/>
        <v>8.0719123456789728</v>
      </c>
      <c r="AC30" s="5">
        <f t="shared" si="24"/>
        <v>1266995.3707456791</v>
      </c>
    </row>
    <row r="31" spans="1:29" x14ac:dyDescent="0.2">
      <c r="G31" s="4">
        <f t="shared" si="1"/>
        <v>283.42</v>
      </c>
      <c r="H31" s="4">
        <f t="shared" si="2"/>
        <v>544</v>
      </c>
      <c r="I31" s="7">
        <f t="shared" si="3"/>
        <v>-95.769722222222242</v>
      </c>
      <c r="J31" s="7">
        <f t="shared" si="4"/>
        <v>-986.60888888888894</v>
      </c>
      <c r="K31" s="5">
        <f t="shared" si="25"/>
        <v>94487.25923086422</v>
      </c>
      <c r="L31" s="5">
        <f t="shared" si="26"/>
        <v>9171.8396945216082</v>
      </c>
      <c r="M31" s="5">
        <f t="shared" si="27"/>
        <v>973397.09963456797</v>
      </c>
      <c r="O31" s="4">
        <f t="shared" si="8"/>
        <v>27</v>
      </c>
      <c r="P31" s="4">
        <f t="shared" si="9"/>
        <v>544</v>
      </c>
      <c r="Q31" s="7">
        <f t="shared" si="10"/>
        <v>-12.930555555555564</v>
      </c>
      <c r="R31" s="7">
        <f t="shared" si="11"/>
        <v>-986.60888888888894</v>
      </c>
      <c r="S31" s="5">
        <f t="shared" si="28"/>
        <v>12757.401049382725</v>
      </c>
      <c r="T31" s="5">
        <f t="shared" si="29"/>
        <v>167.19926697530886</v>
      </c>
      <c r="U31" s="5">
        <f t="shared" si="30"/>
        <v>973397.09963456797</v>
      </c>
      <c r="W31" s="4">
        <f t="shared" si="12"/>
        <v>68</v>
      </c>
      <c r="X31" s="4">
        <f t="shared" si="13"/>
        <v>544</v>
      </c>
      <c r="Y31" s="7">
        <f t="shared" si="14"/>
        <v>4.841111111111104</v>
      </c>
      <c r="Z31" s="7">
        <f t="shared" si="15"/>
        <v>-986.60888888888894</v>
      </c>
      <c r="AA31" s="5">
        <f t="shared" si="22"/>
        <v>-4776.2832543209806</v>
      </c>
      <c r="AB31" s="5">
        <f t="shared" si="23"/>
        <v>23.436356790123387</v>
      </c>
      <c r="AC31" s="5">
        <f t="shared" si="24"/>
        <v>973397.09963456797</v>
      </c>
    </row>
    <row r="32" spans="1:29" x14ac:dyDescent="0.2">
      <c r="G32" s="4">
        <f t="shared" si="1"/>
        <v>292.14999999999998</v>
      </c>
      <c r="H32" s="4">
        <f t="shared" si="2"/>
        <v>713</v>
      </c>
      <c r="I32" s="7">
        <f t="shared" si="3"/>
        <v>-87.039722222222281</v>
      </c>
      <c r="J32" s="7">
        <f t="shared" si="4"/>
        <v>-817.60888888888894</v>
      </c>
      <c r="K32" s="5">
        <f t="shared" si="25"/>
        <v>71164.4505753087</v>
      </c>
      <c r="L32" s="5">
        <f t="shared" si="26"/>
        <v>7575.9132445216155</v>
      </c>
      <c r="M32" s="5">
        <f t="shared" si="27"/>
        <v>668484.29519012349</v>
      </c>
      <c r="O32" s="4">
        <f t="shared" si="8"/>
        <v>33.1</v>
      </c>
      <c r="P32" s="4">
        <f t="shared" si="9"/>
        <v>713</v>
      </c>
      <c r="Q32" s="7">
        <f t="shared" si="10"/>
        <v>-6.8305555555555628</v>
      </c>
      <c r="R32" s="7">
        <f t="shared" si="11"/>
        <v>-817.60888888888894</v>
      </c>
      <c r="S32" s="5">
        <f t="shared" si="28"/>
        <v>5584.7229382716114</v>
      </c>
      <c r="T32" s="5">
        <f t="shared" si="29"/>
        <v>46.656489197530966</v>
      </c>
      <c r="U32" s="5">
        <f t="shared" si="30"/>
        <v>668484.29519012349</v>
      </c>
      <c r="W32" s="4">
        <f t="shared" si="12"/>
        <v>71</v>
      </c>
      <c r="X32" s="4">
        <f t="shared" si="13"/>
        <v>713</v>
      </c>
      <c r="Y32" s="7">
        <f t="shared" si="14"/>
        <v>7.841111111111104</v>
      </c>
      <c r="Z32" s="7">
        <f t="shared" si="15"/>
        <v>-817.60888888888894</v>
      </c>
      <c r="AA32" s="5">
        <f t="shared" si="22"/>
        <v>-6410.9621432098711</v>
      </c>
      <c r="AB32" s="5">
        <f t="shared" si="23"/>
        <v>61.483023456790015</v>
      </c>
      <c r="AC32" s="5">
        <f t="shared" si="24"/>
        <v>668484.29519012349</v>
      </c>
    </row>
    <row r="33" spans="7:29" x14ac:dyDescent="0.2">
      <c r="G33" s="4">
        <f t="shared" si="1"/>
        <v>304.98</v>
      </c>
      <c r="H33" s="4">
        <f t="shared" si="2"/>
        <v>760</v>
      </c>
      <c r="I33" s="7">
        <f t="shared" si="3"/>
        <v>-74.20972222222224</v>
      </c>
      <c r="J33" s="7">
        <f t="shared" si="4"/>
        <v>-770.60888888888894</v>
      </c>
      <c r="K33" s="5">
        <f t="shared" si="25"/>
        <v>57186.671586419769</v>
      </c>
      <c r="L33" s="5">
        <f t="shared" si="26"/>
        <v>5507.0828722993856</v>
      </c>
      <c r="M33" s="5">
        <f t="shared" si="27"/>
        <v>593838.05963456794</v>
      </c>
      <c r="O33" s="4">
        <f t="shared" si="8"/>
        <v>39.700000000000003</v>
      </c>
      <c r="P33" s="4">
        <f t="shared" si="9"/>
        <v>760</v>
      </c>
      <c r="Q33" s="7">
        <f t="shared" si="10"/>
        <v>-0.2305555555555614</v>
      </c>
      <c r="R33" s="7">
        <f t="shared" si="11"/>
        <v>-770.60888888888894</v>
      </c>
      <c r="S33" s="5">
        <f t="shared" si="28"/>
        <v>177.66816049383166</v>
      </c>
      <c r="T33" s="5">
        <f t="shared" si="29"/>
        <v>5.3155864197533556E-2</v>
      </c>
      <c r="U33" s="5">
        <f t="shared" si="30"/>
        <v>593838.05963456794</v>
      </c>
      <c r="W33" s="4">
        <f t="shared" si="12"/>
        <v>70.099999999999994</v>
      </c>
      <c r="X33" s="4">
        <f t="shared" si="13"/>
        <v>760</v>
      </c>
      <c r="Y33" s="7">
        <f t="shared" si="14"/>
        <v>6.9411111111110984</v>
      </c>
      <c r="Z33" s="7">
        <f t="shared" si="15"/>
        <v>-770.60888888888894</v>
      </c>
      <c r="AA33" s="5">
        <f t="shared" si="22"/>
        <v>-5348.8819209876447</v>
      </c>
      <c r="AB33" s="5">
        <f t="shared" si="23"/>
        <v>48.179023456789949</v>
      </c>
      <c r="AC33" s="5">
        <f t="shared" si="24"/>
        <v>593838.05963456794</v>
      </c>
    </row>
    <row r="34" spans="7:29" x14ac:dyDescent="0.2">
      <c r="G34" s="4">
        <f t="shared" si="1"/>
        <v>284.67</v>
      </c>
      <c r="H34" s="4">
        <f t="shared" si="2"/>
        <v>920</v>
      </c>
      <c r="I34" s="7">
        <f t="shared" si="3"/>
        <v>-94.519722222222242</v>
      </c>
      <c r="J34" s="7">
        <f t="shared" si="4"/>
        <v>-610.60888888888894</v>
      </c>
      <c r="K34" s="5">
        <f t="shared" si="25"/>
        <v>57714.582564197546</v>
      </c>
      <c r="L34" s="5">
        <f t="shared" si="26"/>
        <v>8933.9778889660538</v>
      </c>
      <c r="M34" s="5">
        <f t="shared" si="27"/>
        <v>372843.21519012353</v>
      </c>
      <c r="O34" s="4">
        <f t="shared" si="8"/>
        <v>47.1</v>
      </c>
      <c r="P34" s="4">
        <f t="shared" si="9"/>
        <v>920</v>
      </c>
      <c r="Q34" s="7">
        <f t="shared" si="10"/>
        <v>7.1694444444444372</v>
      </c>
      <c r="R34" s="7">
        <f t="shared" si="11"/>
        <v>-610.60888888888894</v>
      </c>
      <c r="S34" s="5">
        <f t="shared" si="28"/>
        <v>-4377.7265061728358</v>
      </c>
      <c r="T34" s="5">
        <f t="shared" si="29"/>
        <v>51.400933641975207</v>
      </c>
      <c r="U34" s="5">
        <f t="shared" si="30"/>
        <v>372843.21519012353</v>
      </c>
      <c r="W34" s="4">
        <f t="shared" si="12"/>
        <v>73.09</v>
      </c>
      <c r="X34" s="4">
        <f t="shared" si="13"/>
        <v>920</v>
      </c>
      <c r="Y34" s="7">
        <f t="shared" si="14"/>
        <v>9.9311111111111074</v>
      </c>
      <c r="Z34" s="7">
        <f t="shared" si="15"/>
        <v>-610.60888888888894</v>
      </c>
      <c r="AA34" s="5">
        <f t="shared" si="22"/>
        <v>-6064.0247209876525</v>
      </c>
      <c r="AB34" s="5">
        <f t="shared" si="23"/>
        <v>98.626967901234494</v>
      </c>
      <c r="AC34" s="5">
        <f t="shared" si="24"/>
        <v>372843.21519012353</v>
      </c>
    </row>
    <row r="35" spans="7:29" x14ac:dyDescent="0.2">
      <c r="G35" s="4">
        <f t="shared" si="1"/>
        <v>389.6</v>
      </c>
      <c r="H35" s="4">
        <f t="shared" si="2"/>
        <v>1040</v>
      </c>
      <c r="I35" s="7">
        <f t="shared" si="3"/>
        <v>10.410277777777765</v>
      </c>
      <c r="J35" s="7">
        <f t="shared" si="4"/>
        <v>-490.60888888888894</v>
      </c>
      <c r="K35" s="5">
        <f t="shared" si="25"/>
        <v>-5107.3748135802407</v>
      </c>
      <c r="L35" s="5">
        <f t="shared" si="26"/>
        <v>108.37388341049355</v>
      </c>
      <c r="M35" s="5">
        <f t="shared" si="27"/>
        <v>240697.08185679017</v>
      </c>
      <c r="O35" s="4">
        <f t="shared" si="8"/>
        <v>57.7</v>
      </c>
      <c r="P35" s="4">
        <f t="shared" si="9"/>
        <v>1040</v>
      </c>
      <c r="Q35" s="7">
        <f t="shared" si="10"/>
        <v>17.769444444444439</v>
      </c>
      <c r="R35" s="7">
        <f t="shared" si="11"/>
        <v>-490.60888888888894</v>
      </c>
      <c r="S35" s="5">
        <f t="shared" si="28"/>
        <v>-8717.8473950617263</v>
      </c>
      <c r="T35" s="5">
        <f t="shared" si="29"/>
        <v>315.75315586419731</v>
      </c>
      <c r="U35" s="5">
        <f t="shared" si="30"/>
        <v>240697.08185679017</v>
      </c>
      <c r="W35" s="4">
        <f t="shared" si="12"/>
        <v>76.010000000000005</v>
      </c>
      <c r="X35" s="4">
        <f t="shared" si="13"/>
        <v>1040</v>
      </c>
      <c r="Y35" s="7">
        <f t="shared" si="14"/>
        <v>12.851111111111109</v>
      </c>
      <c r="Z35" s="7">
        <f t="shared" si="15"/>
        <v>-490.60888888888894</v>
      </c>
      <c r="AA35" s="5">
        <f t="shared" si="22"/>
        <v>-6304.8693432098762</v>
      </c>
      <c r="AB35" s="5">
        <f t="shared" si="23"/>
        <v>165.15105679012342</v>
      </c>
      <c r="AC35" s="5">
        <f t="shared" si="24"/>
        <v>240697.08185679017</v>
      </c>
    </row>
    <row r="36" spans="7:29" x14ac:dyDescent="0.2">
      <c r="G36" s="4">
        <f t="shared" si="1"/>
        <v>484</v>
      </c>
      <c r="H36" s="4">
        <f t="shared" si="2"/>
        <v>1657</v>
      </c>
      <c r="I36" s="7">
        <f t="shared" si="3"/>
        <v>104.81027777777774</v>
      </c>
      <c r="J36" s="7">
        <f t="shared" si="4"/>
        <v>126.39111111111106</v>
      </c>
      <c r="K36" s="5">
        <f t="shared" si="25"/>
        <v>13247.087464197521</v>
      </c>
      <c r="L36" s="5">
        <f t="shared" si="26"/>
        <v>10985.194327854932</v>
      </c>
      <c r="M36" s="5">
        <f t="shared" si="27"/>
        <v>15974.712967901221</v>
      </c>
      <c r="O36" s="4">
        <f t="shared" si="8"/>
        <v>64.5</v>
      </c>
      <c r="P36" s="4">
        <f t="shared" si="9"/>
        <v>1657</v>
      </c>
      <c r="Q36" s="7">
        <f t="shared" si="10"/>
        <v>24.569444444444436</v>
      </c>
      <c r="R36" s="7">
        <f t="shared" si="11"/>
        <v>126.39111111111106</v>
      </c>
      <c r="S36" s="5">
        <f t="shared" si="28"/>
        <v>3105.3593827160471</v>
      </c>
      <c r="T36" s="5">
        <f t="shared" si="29"/>
        <v>603.65760030864158</v>
      </c>
      <c r="U36" s="5">
        <f t="shared" si="30"/>
        <v>15974.712967901221</v>
      </c>
      <c r="W36" s="4">
        <f t="shared" si="12"/>
        <v>80.86</v>
      </c>
      <c r="X36" s="4">
        <f t="shared" si="13"/>
        <v>1657</v>
      </c>
      <c r="Y36" s="7">
        <f t="shared" si="14"/>
        <v>17.701111111111103</v>
      </c>
      <c r="Z36" s="7">
        <f t="shared" si="15"/>
        <v>126.39111111111106</v>
      </c>
      <c r="AA36" s="5">
        <f t="shared" si="22"/>
        <v>2237.263101234566</v>
      </c>
      <c r="AB36" s="5">
        <f t="shared" si="23"/>
        <v>313.32933456790096</v>
      </c>
      <c r="AC36" s="5">
        <f t="shared" si="24"/>
        <v>15974.712967901221</v>
      </c>
    </row>
    <row r="37" spans="7:29" x14ac:dyDescent="0.2">
      <c r="G37" s="4">
        <f t="shared" si="1"/>
        <v>61.77</v>
      </c>
      <c r="H37" s="4">
        <f t="shared" si="2"/>
        <v>2032</v>
      </c>
      <c r="I37" s="7">
        <f t="shared" si="3"/>
        <v>-317.41972222222228</v>
      </c>
      <c r="J37" s="7">
        <f t="shared" si="4"/>
        <v>501.39111111111106</v>
      </c>
      <c r="K37" s="5">
        <f t="shared" si="25"/>
        <v>-159151.42721358026</v>
      </c>
      <c r="L37" s="5">
        <f t="shared" si="26"/>
        <v>100755.28005563276</v>
      </c>
      <c r="M37" s="5">
        <f t="shared" si="27"/>
        <v>251393.04630123451</v>
      </c>
      <c r="O37" s="4">
        <f t="shared" si="8"/>
        <v>64.7</v>
      </c>
      <c r="P37" s="4">
        <f t="shared" si="9"/>
        <v>2032</v>
      </c>
      <c r="Q37" s="7">
        <f t="shared" si="10"/>
        <v>24.769444444444439</v>
      </c>
      <c r="R37" s="7">
        <f t="shared" si="11"/>
        <v>501.39111111111106</v>
      </c>
      <c r="S37" s="5">
        <f t="shared" si="28"/>
        <v>12419.179271604935</v>
      </c>
      <c r="T37" s="5">
        <f t="shared" si="29"/>
        <v>613.52537808641944</v>
      </c>
      <c r="U37" s="5">
        <f t="shared" si="30"/>
        <v>251393.04630123451</v>
      </c>
      <c r="W37" s="4">
        <f t="shared" si="12"/>
        <v>82.64</v>
      </c>
      <c r="X37" s="4">
        <f t="shared" si="13"/>
        <v>2032</v>
      </c>
      <c r="Y37" s="7">
        <f t="shared" si="14"/>
        <v>19.481111111111105</v>
      </c>
      <c r="Z37" s="7">
        <f t="shared" si="15"/>
        <v>501.39111111111106</v>
      </c>
      <c r="AA37" s="5">
        <f t="shared" si="22"/>
        <v>9767.6559456790073</v>
      </c>
      <c r="AB37" s="5">
        <f t="shared" si="23"/>
        <v>379.51369012345651</v>
      </c>
      <c r="AC37" s="5">
        <f t="shared" si="24"/>
        <v>251393.04630123451</v>
      </c>
    </row>
    <row r="38" spans="7:29" x14ac:dyDescent="0.2">
      <c r="G38" s="4">
        <f t="shared" si="1"/>
        <v>728.51</v>
      </c>
      <c r="H38" s="4">
        <f t="shared" si="2"/>
        <v>3221</v>
      </c>
      <c r="I38" s="7">
        <f t="shared" si="3"/>
        <v>349.32027777777773</v>
      </c>
      <c r="J38" s="7">
        <f t="shared" si="4"/>
        <v>1690.3911111111111</v>
      </c>
      <c r="K38" s="5">
        <f t="shared" si="25"/>
        <v>590487.89248641965</v>
      </c>
      <c r="L38" s="5">
        <f t="shared" si="26"/>
        <v>122024.65646674379</v>
      </c>
      <c r="M38" s="5">
        <f t="shared" si="27"/>
        <v>2857422.1085234564</v>
      </c>
      <c r="O38" s="4">
        <f t="shared" si="8"/>
        <v>70.3</v>
      </c>
      <c r="P38" s="4">
        <f t="shared" si="9"/>
        <v>3221</v>
      </c>
      <c r="Q38" s="7">
        <f t="shared" si="10"/>
        <v>30.369444444444433</v>
      </c>
      <c r="R38" s="7">
        <f t="shared" si="11"/>
        <v>1690.3911111111111</v>
      </c>
      <c r="S38" s="5">
        <f t="shared" si="28"/>
        <v>51336.238938271585</v>
      </c>
      <c r="T38" s="5">
        <f t="shared" si="29"/>
        <v>922.30315586419681</v>
      </c>
      <c r="U38" s="5">
        <f t="shared" si="30"/>
        <v>2857422.1085234564</v>
      </c>
      <c r="W38" s="4">
        <f t="shared" si="12"/>
        <v>84.99</v>
      </c>
      <c r="X38" s="4">
        <f t="shared" si="13"/>
        <v>3221</v>
      </c>
      <c r="Y38" s="7">
        <f t="shared" si="14"/>
        <v>21.831111111111099</v>
      </c>
      <c r="Z38" s="7">
        <f t="shared" si="15"/>
        <v>1690.3911111111111</v>
      </c>
      <c r="AA38" s="5">
        <f t="shared" si="22"/>
        <v>36903.116167901215</v>
      </c>
      <c r="AB38" s="5">
        <f t="shared" si="23"/>
        <v>476.59741234567849</v>
      </c>
      <c r="AC38" s="5">
        <f t="shared" si="24"/>
        <v>2857422.1085234564</v>
      </c>
    </row>
    <row r="39" spans="7:29" x14ac:dyDescent="0.2">
      <c r="G39" s="4">
        <f t="shared" si="1"/>
        <v>756.22</v>
      </c>
      <c r="H39" s="4">
        <f t="shared" si="2"/>
        <v>3921</v>
      </c>
      <c r="I39" s="7">
        <f t="shared" si="3"/>
        <v>377.03027777777777</v>
      </c>
      <c r="J39" s="7">
        <f t="shared" si="4"/>
        <v>2390.3911111111111</v>
      </c>
      <c r="K39" s="5">
        <f t="shared" si="25"/>
        <v>901249.82461975305</v>
      </c>
      <c r="L39" s="5">
        <f t="shared" si="26"/>
        <v>142151.83036118827</v>
      </c>
      <c r="M39" s="5">
        <f t="shared" si="27"/>
        <v>5713969.6640790123</v>
      </c>
      <c r="O39" s="4">
        <f t="shared" si="8"/>
        <v>74</v>
      </c>
      <c r="P39" s="4">
        <f t="shared" si="9"/>
        <v>3921</v>
      </c>
      <c r="Q39" s="7">
        <f t="shared" si="10"/>
        <v>34.069444444444436</v>
      </c>
      <c r="R39" s="7">
        <f t="shared" si="11"/>
        <v>2390.3911111111111</v>
      </c>
      <c r="S39" s="5">
        <f t="shared" si="28"/>
        <v>81439.297160493807</v>
      </c>
      <c r="T39" s="5">
        <f t="shared" si="29"/>
        <v>1160.7270447530859</v>
      </c>
      <c r="U39" s="5">
        <f t="shared" si="30"/>
        <v>5713969.6640790123</v>
      </c>
      <c r="W39" s="4">
        <f t="shared" si="12"/>
        <v>89</v>
      </c>
      <c r="X39" s="4">
        <f t="shared" si="13"/>
        <v>3921</v>
      </c>
      <c r="Y39" s="7">
        <f t="shared" si="14"/>
        <v>25.841111111111104</v>
      </c>
      <c r="Z39" s="7">
        <f t="shared" si="15"/>
        <v>2390.3911111111111</v>
      </c>
      <c r="AA39" s="5">
        <f t="shared" si="22"/>
        <v>61770.362301234549</v>
      </c>
      <c r="AB39" s="5">
        <f t="shared" si="23"/>
        <v>667.76302345678971</v>
      </c>
      <c r="AC39" s="5">
        <f t="shared" si="24"/>
        <v>5713969.6640790123</v>
      </c>
    </row>
    <row r="40" spans="7:29" x14ac:dyDescent="0.2">
      <c r="G40" s="4">
        <f t="shared" si="1"/>
        <v>822.2</v>
      </c>
      <c r="H40" s="4">
        <f t="shared" si="2"/>
        <v>4986</v>
      </c>
      <c r="I40" s="7">
        <f t="shared" si="3"/>
        <v>443.01027777777779</v>
      </c>
      <c r="J40" s="7">
        <f t="shared" si="4"/>
        <v>3455.3911111111111</v>
      </c>
      <c r="K40" s="5">
        <f t="shared" si="25"/>
        <v>1530773.7759641975</v>
      </c>
      <c r="L40" s="5">
        <f t="shared" si="26"/>
        <v>196258.10621674382</v>
      </c>
      <c r="M40" s="5">
        <f t="shared" si="27"/>
        <v>11939727.730745679</v>
      </c>
      <c r="O40" s="4">
        <f t="shared" si="8"/>
        <v>77.7</v>
      </c>
      <c r="P40" s="4">
        <f t="shared" si="9"/>
        <v>4986</v>
      </c>
      <c r="Q40" s="7">
        <f t="shared" si="10"/>
        <v>37.769444444444439</v>
      </c>
      <c r="R40" s="7">
        <f t="shared" si="11"/>
        <v>3455.3911111111111</v>
      </c>
      <c r="S40" s="5">
        <f t="shared" si="28"/>
        <v>130508.20260493825</v>
      </c>
      <c r="T40" s="5">
        <f t="shared" si="29"/>
        <v>1426.5309336419748</v>
      </c>
      <c r="U40" s="5">
        <f t="shared" si="30"/>
        <v>11939727.730745679</v>
      </c>
      <c r="W40" s="4">
        <f t="shared" si="12"/>
        <v>88.2</v>
      </c>
      <c r="X40" s="4">
        <f t="shared" si="13"/>
        <v>4986</v>
      </c>
      <c r="Y40" s="7">
        <f t="shared" si="14"/>
        <v>25.041111111111107</v>
      </c>
      <c r="Z40" s="7">
        <f t="shared" si="15"/>
        <v>3455.3911111111111</v>
      </c>
      <c r="AA40" s="5">
        <f t="shared" si="22"/>
        <v>86526.832745678999</v>
      </c>
      <c r="AB40" s="5">
        <f t="shared" si="23"/>
        <v>627.05724567901211</v>
      </c>
      <c r="AC40" s="5">
        <f t="shared" si="24"/>
        <v>11939727.730745679</v>
      </c>
    </row>
    <row r="41" spans="7:29" x14ac:dyDescent="0.2">
      <c r="G41" s="4">
        <f t="shared" si="1"/>
        <v>1161.5999999999999</v>
      </c>
      <c r="H41" s="4">
        <f t="shared" si="2"/>
        <v>6359</v>
      </c>
      <c r="I41" s="7">
        <f t="shared" si="3"/>
        <v>782.41027777777765</v>
      </c>
      <c r="J41" s="7">
        <f t="shared" si="4"/>
        <v>4828.3911111111111</v>
      </c>
      <c r="K41" s="5">
        <f t="shared" si="25"/>
        <v>3777782.8304641969</v>
      </c>
      <c r="L41" s="5">
        <f t="shared" si="26"/>
        <v>612165.84277229919</v>
      </c>
      <c r="M41" s="5">
        <f t="shared" si="27"/>
        <v>23313360.721856788</v>
      </c>
      <c r="O41" s="4">
        <f t="shared" si="8"/>
        <v>83.4</v>
      </c>
      <c r="P41" s="4">
        <f t="shared" si="9"/>
        <v>6359</v>
      </c>
      <c r="Q41" s="7">
        <f t="shared" si="10"/>
        <v>43.469444444444441</v>
      </c>
      <c r="R41" s="7">
        <f t="shared" si="11"/>
        <v>4828.3911111111111</v>
      </c>
      <c r="S41" s="5">
        <f t="shared" ref="S41" si="31">Q41*R41</f>
        <v>209887.47916049382</v>
      </c>
      <c r="T41" s="5">
        <f t="shared" ref="T41" si="32">POWER(Q41, 2)</f>
        <v>1889.5926003086417</v>
      </c>
      <c r="U41" s="5">
        <f t="shared" ref="U41" si="33">POWER(R41,2)</f>
        <v>23313360.721856788</v>
      </c>
      <c r="W41" s="4">
        <f t="shared" si="12"/>
        <v>89.2</v>
      </c>
      <c r="X41" s="4">
        <f t="shared" si="13"/>
        <v>6359</v>
      </c>
      <c r="Y41" s="7">
        <f t="shared" si="14"/>
        <v>26.041111111111107</v>
      </c>
      <c r="Z41" s="7">
        <f t="shared" si="15"/>
        <v>4828.3911111111111</v>
      </c>
      <c r="AA41" s="5">
        <f t="shared" ref="AA41" si="34">Y41*Z41</f>
        <v>125736.66941234565</v>
      </c>
      <c r="AB41" s="5">
        <f t="shared" ref="AB41" si="35">POWER(Y41, 2)</f>
        <v>678.1394679012343</v>
      </c>
      <c r="AC41" s="5">
        <f t="shared" ref="AC41" si="36">POWER(Z41,2)</f>
        <v>23313360.721856788</v>
      </c>
    </row>
    <row r="42" spans="7:29" ht="16" thickBot="1" x14ac:dyDescent="0.25">
      <c r="G42" s="8"/>
      <c r="H42" s="8"/>
      <c r="I42" s="9"/>
      <c r="J42" s="9"/>
      <c r="K42" s="10"/>
      <c r="L42" s="10"/>
      <c r="M42" s="10"/>
      <c r="O42" s="8"/>
      <c r="P42" s="8"/>
      <c r="Q42" s="9"/>
      <c r="R42" s="9"/>
      <c r="S42" s="10"/>
      <c r="T42" s="10"/>
      <c r="U42" s="10"/>
      <c r="W42" s="8"/>
      <c r="X42" s="8"/>
      <c r="Y42" s="9"/>
      <c r="Z42" s="9"/>
      <c r="AA42" s="10"/>
      <c r="AB42" s="10"/>
      <c r="AC42" s="10"/>
    </row>
    <row r="43" spans="7:29" x14ac:dyDescent="0.2">
      <c r="G43" s="11">
        <f>AVERAGE(G24:G42)</f>
        <v>379.18972222222226</v>
      </c>
      <c r="H43" s="11">
        <f>AVERAGE(H24:H42)</f>
        <v>1530.6088888888889</v>
      </c>
      <c r="I43" s="12"/>
      <c r="J43" s="12"/>
      <c r="K43" s="12">
        <f>SUM(K24:K42)</f>
        <v>8843673.020644445</v>
      </c>
      <c r="L43" s="12">
        <f>SUM(L24:L42)</f>
        <v>1522333.2375236112</v>
      </c>
      <c r="M43" s="12">
        <f>SUM(M24:M42)</f>
        <v>59450431.29517778</v>
      </c>
      <c r="O43" s="11">
        <f>AVERAGE(O24:O42)</f>
        <v>39.930555555555564</v>
      </c>
      <c r="P43" s="11">
        <f>AVERAGE(P24:P42)</f>
        <v>1530.6088888888889</v>
      </c>
      <c r="Q43" s="12"/>
      <c r="R43" s="12"/>
      <c r="S43" s="12">
        <f>SUM(S24:S42)</f>
        <v>765954.42611111118</v>
      </c>
      <c r="T43" s="12">
        <f>SUM(T24:T42)</f>
        <v>13222.225694444447</v>
      </c>
      <c r="U43" s="12">
        <f>SUM(U24:U42)</f>
        <v>59450431.29517778</v>
      </c>
      <c r="W43" s="11">
        <f>AVERAGE(W24:W42)</f>
        <v>63.158888888888896</v>
      </c>
      <c r="X43" s="11">
        <f>AVERAGE(X24:X42)</f>
        <v>1530.6088888888889</v>
      </c>
      <c r="Y43" s="12"/>
      <c r="Z43" s="12"/>
      <c r="AA43" s="12">
        <f>SUM(AA24:AA42)</f>
        <v>545865.39057777775</v>
      </c>
      <c r="AB43" s="12">
        <f>SUM(AB24:AB42)</f>
        <v>10035.397977777779</v>
      </c>
      <c r="AC43" s="12">
        <f>SUM(AC24:AC42)</f>
        <v>59450431.29517778</v>
      </c>
    </row>
  </sheetData>
  <mergeCells count="3">
    <mergeCell ref="W22:AC22"/>
    <mergeCell ref="O22:U22"/>
    <mergeCell ref="G22:M22"/>
  </mergeCells>
  <pageMargins left="0.7" right="0.7" top="0.75" bottom="0.75" header="0.3" footer="0.3"/>
  <pageSetup paperSize="9" orientation="portrait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72F2C-B1BC-C34F-9ECC-86D89C268400}">
  <dimension ref="A1:I60"/>
  <sheetViews>
    <sheetView zoomScale="81" workbookViewId="0">
      <selection activeCell="G64" sqref="G64"/>
    </sheetView>
  </sheetViews>
  <sheetFormatPr baseColWidth="10" defaultRowHeight="15" x14ac:dyDescent="0.2"/>
  <cols>
    <col min="1" max="1" width="22.83203125" bestFit="1" customWidth="1"/>
    <col min="2" max="2" width="14.5" bestFit="1" customWidth="1"/>
    <col min="3" max="3" width="19.83203125" bestFit="1" customWidth="1"/>
    <col min="4" max="4" width="13.5" bestFit="1" customWidth="1"/>
    <col min="5" max="5" width="12.1640625" bestFit="1" customWidth="1"/>
    <col min="6" max="6" width="13" bestFit="1" customWidth="1"/>
    <col min="7" max="7" width="12.6640625" bestFit="1" customWidth="1"/>
    <col min="8" max="9" width="13.1640625" bestFit="1" customWidth="1"/>
  </cols>
  <sheetData>
    <row r="1" spans="1:9" x14ac:dyDescent="0.2">
      <c r="A1" s="29" t="s">
        <v>139</v>
      </c>
      <c r="B1" s="29"/>
      <c r="C1" s="29"/>
      <c r="D1" s="29"/>
      <c r="E1" s="29"/>
      <c r="F1" s="29"/>
      <c r="G1" s="29"/>
      <c r="H1" s="29"/>
      <c r="I1" s="29"/>
    </row>
    <row r="2" spans="1:9" ht="16" thickBot="1" x14ac:dyDescent="0.25">
      <c r="A2" s="29"/>
      <c r="B2" s="29"/>
      <c r="C2" s="29"/>
      <c r="D2" s="29"/>
      <c r="E2" s="29"/>
      <c r="F2" s="29"/>
      <c r="G2" s="29"/>
      <c r="H2" s="29"/>
      <c r="I2" s="29"/>
    </row>
    <row r="3" spans="1:9" x14ac:dyDescent="0.2">
      <c r="A3" s="32" t="s">
        <v>16</v>
      </c>
      <c r="B3" s="32"/>
      <c r="C3" s="29"/>
      <c r="D3" s="29"/>
      <c r="E3" s="29"/>
      <c r="F3" s="29"/>
      <c r="G3" s="29"/>
      <c r="H3" s="29"/>
      <c r="I3" s="29"/>
    </row>
    <row r="4" spans="1:9" x14ac:dyDescent="0.2">
      <c r="A4" s="29" t="s">
        <v>17</v>
      </c>
      <c r="B4" s="29">
        <v>0.9296089735452584</v>
      </c>
      <c r="C4" s="29"/>
      <c r="D4" s="29"/>
      <c r="E4" s="29"/>
      <c r="F4" s="29"/>
      <c r="G4" s="29"/>
      <c r="H4" s="29"/>
      <c r="I4" s="29"/>
    </row>
    <row r="5" spans="1:9" x14ac:dyDescent="0.2">
      <c r="A5" s="29" t="s">
        <v>18</v>
      </c>
      <c r="B5" s="29">
        <v>0.864172843695869</v>
      </c>
      <c r="C5" s="29"/>
      <c r="D5" s="29"/>
      <c r="E5" s="29"/>
      <c r="F5" s="29"/>
      <c r="G5" s="29"/>
      <c r="H5" s="29"/>
      <c r="I5" s="29"/>
    </row>
    <row r="6" spans="1:9" x14ac:dyDescent="0.2">
      <c r="A6" s="29" t="s">
        <v>19</v>
      </c>
      <c r="B6" s="29">
        <v>0.85568364642686079</v>
      </c>
      <c r="C6" s="29"/>
      <c r="D6" s="29"/>
      <c r="E6" s="29"/>
      <c r="F6" s="29"/>
      <c r="G6" s="29"/>
      <c r="H6" s="29"/>
      <c r="I6" s="29"/>
    </row>
    <row r="7" spans="1:9" x14ac:dyDescent="0.2">
      <c r="A7" s="29" t="s">
        <v>20</v>
      </c>
      <c r="B7" s="29">
        <v>710.41286516530795</v>
      </c>
      <c r="C7" s="29"/>
      <c r="D7" s="29"/>
      <c r="E7" s="29"/>
      <c r="F7" s="29"/>
      <c r="G7" s="29"/>
      <c r="H7" s="29"/>
      <c r="I7" s="29"/>
    </row>
    <row r="8" spans="1:9" ht="16" thickBot="1" x14ac:dyDescent="0.25">
      <c r="A8" s="33" t="s">
        <v>21</v>
      </c>
      <c r="B8" s="33">
        <v>18</v>
      </c>
      <c r="C8" s="29"/>
      <c r="D8" s="29"/>
      <c r="E8" s="29"/>
      <c r="F8" s="29"/>
      <c r="G8" s="29"/>
      <c r="H8" s="29"/>
      <c r="I8" s="29"/>
    </row>
    <row r="9" spans="1:9" x14ac:dyDescent="0.2">
      <c r="A9" s="29"/>
      <c r="B9" s="29"/>
      <c r="C9" s="29"/>
      <c r="D9" s="29"/>
      <c r="E9" s="29"/>
      <c r="F9" s="29"/>
      <c r="G9" s="29"/>
      <c r="H9" s="29"/>
      <c r="I9" s="29"/>
    </row>
    <row r="10" spans="1:9" ht="16" thickBot="1" x14ac:dyDescent="0.25">
      <c r="A10" s="29" t="s">
        <v>22</v>
      </c>
      <c r="B10" s="29"/>
      <c r="C10" s="29"/>
      <c r="D10" s="29"/>
      <c r="E10" s="29"/>
      <c r="F10" s="29"/>
      <c r="G10" s="29"/>
      <c r="H10" s="29"/>
      <c r="I10" s="29"/>
    </row>
    <row r="11" spans="1:9" x14ac:dyDescent="0.2">
      <c r="A11" s="35"/>
      <c r="B11" s="35" t="s">
        <v>27</v>
      </c>
      <c r="C11" s="35" t="s">
        <v>28</v>
      </c>
      <c r="D11" s="35" t="s">
        <v>29</v>
      </c>
      <c r="E11" s="35" t="s">
        <v>30</v>
      </c>
      <c r="F11" s="35" t="s">
        <v>31</v>
      </c>
      <c r="G11" s="29"/>
      <c r="H11" s="29"/>
      <c r="I11" s="29"/>
    </row>
    <row r="12" spans="1:9" x14ac:dyDescent="0.2">
      <c r="A12" s="29" t="s">
        <v>23</v>
      </c>
      <c r="B12" s="29">
        <v>1</v>
      </c>
      <c r="C12" s="29">
        <v>51375448.271299668</v>
      </c>
      <c r="D12" s="29">
        <v>51375448.271299668</v>
      </c>
      <c r="E12" s="29">
        <v>101.79676785822089</v>
      </c>
      <c r="F12" s="29">
        <v>2.4264389516737955E-8</v>
      </c>
      <c r="G12" s="29"/>
      <c r="H12" s="29"/>
      <c r="I12" s="29"/>
    </row>
    <row r="13" spans="1:9" x14ac:dyDescent="0.2">
      <c r="A13" s="29" t="s">
        <v>24</v>
      </c>
      <c r="B13" s="29">
        <v>16</v>
      </c>
      <c r="C13" s="29">
        <v>8074983.0238781115</v>
      </c>
      <c r="D13" s="29">
        <v>504686.43899238197</v>
      </c>
      <c r="E13" s="29"/>
      <c r="F13" s="29"/>
      <c r="G13" s="29"/>
      <c r="H13" s="29"/>
      <c r="I13" s="29"/>
    </row>
    <row r="14" spans="1:9" ht="16" thickBot="1" x14ac:dyDescent="0.25">
      <c r="A14" s="33" t="s">
        <v>25</v>
      </c>
      <c r="B14" s="33">
        <v>17</v>
      </c>
      <c r="C14" s="33">
        <v>59450431.29517778</v>
      </c>
      <c r="D14" s="33"/>
      <c r="E14" s="33"/>
      <c r="F14" s="33"/>
      <c r="G14" s="29"/>
      <c r="H14" s="29"/>
      <c r="I14" s="29"/>
    </row>
    <row r="15" spans="1:9" ht="16" thickBot="1" x14ac:dyDescent="0.25">
      <c r="A15" s="29"/>
      <c r="B15" s="29"/>
      <c r="C15" s="29"/>
      <c r="D15" s="29"/>
      <c r="E15" s="29"/>
      <c r="F15" s="29"/>
      <c r="G15" s="29"/>
      <c r="H15" s="29"/>
      <c r="I15" s="29"/>
    </row>
    <row r="16" spans="1:9" x14ac:dyDescent="0.2">
      <c r="A16" s="35"/>
      <c r="B16" s="35" t="s">
        <v>32</v>
      </c>
      <c r="C16" s="35" t="s">
        <v>20</v>
      </c>
      <c r="D16" s="35" t="s">
        <v>33</v>
      </c>
      <c r="E16" s="35" t="s">
        <v>34</v>
      </c>
      <c r="F16" s="35" t="s">
        <v>35</v>
      </c>
      <c r="G16" s="35" t="s">
        <v>36</v>
      </c>
      <c r="H16" s="35" t="s">
        <v>37</v>
      </c>
      <c r="I16" s="35" t="s">
        <v>38</v>
      </c>
    </row>
    <row r="17" spans="1:9" x14ac:dyDescent="0.2">
      <c r="A17" s="29" t="s">
        <v>26</v>
      </c>
      <c r="B17" s="29">
        <v>-672.21361637111113</v>
      </c>
      <c r="C17" s="29">
        <v>275.14709858627975</v>
      </c>
      <c r="D17" s="29">
        <v>-2.4431063232175809</v>
      </c>
      <c r="E17" s="29">
        <v>2.6536211012663558E-2</v>
      </c>
      <c r="F17" s="29">
        <v>-1255.4994087295186</v>
      </c>
      <c r="G17" s="29">
        <v>-88.927824012703596</v>
      </c>
      <c r="H17" s="29">
        <v>-1255.4994087295186</v>
      </c>
      <c r="I17" s="29">
        <v>-88.927824012703596</v>
      </c>
    </row>
    <row r="18" spans="1:9" ht="16" thickBot="1" x14ac:dyDescent="0.25">
      <c r="A18" s="33" t="s">
        <v>39</v>
      </c>
      <c r="B18" s="33">
        <v>5.8092885333243469</v>
      </c>
      <c r="C18" s="33">
        <v>0.57577917471843643</v>
      </c>
      <c r="D18" s="33">
        <v>10.089438431261716</v>
      </c>
      <c r="E18" s="33">
        <v>2.4264389516737955E-8</v>
      </c>
      <c r="F18" s="33">
        <v>4.588691209657493</v>
      </c>
      <c r="G18" s="33">
        <v>7.0298858569912008</v>
      </c>
      <c r="H18" s="33">
        <v>4.588691209657493</v>
      </c>
      <c r="I18" s="33">
        <v>7.0298858569912008</v>
      </c>
    </row>
    <row r="22" spans="1:9" x14ac:dyDescent="0.2">
      <c r="A22" s="29" t="s">
        <v>140</v>
      </c>
      <c r="B22" s="29"/>
      <c r="C22" s="29"/>
      <c r="D22" s="29"/>
      <c r="E22" s="29"/>
      <c r="F22" s="29"/>
      <c r="G22" s="29"/>
      <c r="H22" s="29"/>
      <c r="I22" s="29"/>
    </row>
    <row r="23" spans="1:9" ht="16" thickBot="1" x14ac:dyDescent="0.25">
      <c r="A23" s="29"/>
      <c r="B23" s="29"/>
      <c r="C23" s="29"/>
      <c r="D23" s="29"/>
      <c r="E23" s="29"/>
      <c r="F23" s="29"/>
      <c r="G23" s="29"/>
      <c r="H23" s="29"/>
      <c r="I23" s="29"/>
    </row>
    <row r="24" spans="1:9" x14ac:dyDescent="0.2">
      <c r="A24" s="32" t="s">
        <v>16</v>
      </c>
      <c r="B24" s="32"/>
      <c r="C24" s="29"/>
      <c r="D24" s="29"/>
      <c r="E24" s="29"/>
      <c r="F24" s="29"/>
      <c r="G24" s="29"/>
      <c r="H24" s="29"/>
      <c r="I24" s="29"/>
    </row>
    <row r="25" spans="1:9" x14ac:dyDescent="0.2">
      <c r="A25" s="29" t="s">
        <v>17</v>
      </c>
      <c r="B25" s="29">
        <v>0.86391923238657198</v>
      </c>
      <c r="C25" s="29"/>
      <c r="D25" s="29"/>
      <c r="E25" s="29"/>
      <c r="F25" s="29"/>
      <c r="G25" s="29"/>
      <c r="H25" s="29"/>
      <c r="I25" s="29"/>
    </row>
    <row r="26" spans="1:9" x14ac:dyDescent="0.2">
      <c r="A26" s="29" t="s">
        <v>18</v>
      </c>
      <c r="B26" s="29">
        <v>0.74635644008740376</v>
      </c>
      <c r="C26" s="29"/>
      <c r="D26" s="29"/>
      <c r="E26" s="29"/>
      <c r="F26" s="29"/>
      <c r="G26" s="29"/>
      <c r="H26" s="29"/>
      <c r="I26" s="29"/>
    </row>
    <row r="27" spans="1:9" x14ac:dyDescent="0.2">
      <c r="A27" s="29" t="s">
        <v>19</v>
      </c>
      <c r="B27" s="29">
        <v>0.73050371759286647</v>
      </c>
      <c r="C27" s="29"/>
      <c r="D27" s="29"/>
      <c r="E27" s="29"/>
      <c r="F27" s="29"/>
      <c r="G27" s="29"/>
      <c r="H27" s="29"/>
      <c r="I27" s="29"/>
    </row>
    <row r="28" spans="1:9" x14ac:dyDescent="0.2">
      <c r="A28" s="29" t="s">
        <v>20</v>
      </c>
      <c r="B28" s="29">
        <v>970.79925293698432</v>
      </c>
      <c r="C28" s="29"/>
      <c r="D28" s="29"/>
      <c r="E28" s="29"/>
      <c r="F28" s="29"/>
      <c r="G28" s="29"/>
      <c r="H28" s="29"/>
      <c r="I28" s="29"/>
    </row>
    <row r="29" spans="1:9" ht="16" thickBot="1" x14ac:dyDescent="0.25">
      <c r="A29" s="33" t="s">
        <v>21</v>
      </c>
      <c r="B29" s="33">
        <v>18</v>
      </c>
      <c r="C29" s="29"/>
      <c r="D29" s="29"/>
      <c r="E29" s="29"/>
      <c r="F29" s="29"/>
      <c r="G29" s="29"/>
      <c r="H29" s="29"/>
      <c r="I29" s="29"/>
    </row>
    <row r="30" spans="1:9" x14ac:dyDescent="0.2">
      <c r="A30" s="29"/>
      <c r="B30" s="29"/>
      <c r="C30" s="29"/>
      <c r="D30" s="29"/>
      <c r="E30" s="29"/>
      <c r="F30" s="29"/>
      <c r="G30" s="29"/>
      <c r="H30" s="29"/>
      <c r="I30" s="29"/>
    </row>
    <row r="31" spans="1:9" ht="16" thickBot="1" x14ac:dyDescent="0.25">
      <c r="A31" s="29" t="s">
        <v>22</v>
      </c>
      <c r="B31" s="29"/>
      <c r="C31" s="29"/>
      <c r="D31" s="29"/>
      <c r="E31" s="29"/>
      <c r="F31" s="29"/>
      <c r="G31" s="29"/>
      <c r="H31" s="29"/>
      <c r="I31" s="29"/>
    </row>
    <row r="32" spans="1:9" x14ac:dyDescent="0.2">
      <c r="A32" s="35"/>
      <c r="B32" s="35" t="s">
        <v>27</v>
      </c>
      <c r="C32" s="35" t="s">
        <v>28</v>
      </c>
      <c r="D32" s="35" t="s">
        <v>29</v>
      </c>
      <c r="E32" s="35" t="s">
        <v>30</v>
      </c>
      <c r="F32" s="35" t="s">
        <v>31</v>
      </c>
      <c r="G32" s="29"/>
      <c r="H32" s="29"/>
      <c r="I32" s="29"/>
    </row>
    <row r="33" spans="1:9" x14ac:dyDescent="0.2">
      <c r="A33" s="29" t="s">
        <v>23</v>
      </c>
      <c r="B33" s="29">
        <v>1</v>
      </c>
      <c r="C33" s="29">
        <v>44371212.263129666</v>
      </c>
      <c r="D33" s="29">
        <v>44371212.263129666</v>
      </c>
      <c r="E33" s="29">
        <v>47.080647525659579</v>
      </c>
      <c r="F33" s="29">
        <v>3.8241430229603396E-6</v>
      </c>
      <c r="G33" s="29"/>
      <c r="H33" s="29"/>
      <c r="I33" s="29"/>
    </row>
    <row r="34" spans="1:9" x14ac:dyDescent="0.2">
      <c r="A34" s="29" t="s">
        <v>24</v>
      </c>
      <c r="B34" s="29">
        <v>16</v>
      </c>
      <c r="C34" s="29">
        <v>15079219.03204811</v>
      </c>
      <c r="D34" s="29">
        <v>942451.18950300687</v>
      </c>
      <c r="E34" s="29"/>
      <c r="F34" s="29"/>
      <c r="G34" s="29"/>
      <c r="H34" s="29"/>
      <c r="I34" s="29"/>
    </row>
    <row r="35" spans="1:9" ht="16" thickBot="1" x14ac:dyDescent="0.25">
      <c r="A35" s="33" t="s">
        <v>25</v>
      </c>
      <c r="B35" s="33">
        <v>17</v>
      </c>
      <c r="C35" s="33">
        <v>59450431.295177773</v>
      </c>
      <c r="D35" s="33"/>
      <c r="E35" s="33"/>
      <c r="F35" s="33"/>
      <c r="G35" s="29"/>
      <c r="H35" s="29"/>
      <c r="I35" s="29"/>
    </row>
    <row r="36" spans="1:9" ht="16" thickBot="1" x14ac:dyDescent="0.25">
      <c r="A36" s="29"/>
      <c r="B36" s="29"/>
      <c r="C36" s="29"/>
      <c r="D36" s="29"/>
      <c r="E36" s="29"/>
      <c r="F36" s="29"/>
      <c r="G36" s="29"/>
      <c r="H36" s="29"/>
      <c r="I36" s="29"/>
    </row>
    <row r="37" spans="1:9" x14ac:dyDescent="0.2">
      <c r="A37" s="35"/>
      <c r="B37" s="35" t="s">
        <v>32</v>
      </c>
      <c r="C37" s="35" t="s">
        <v>20</v>
      </c>
      <c r="D37" s="35" t="s">
        <v>33</v>
      </c>
      <c r="E37" s="35" t="s">
        <v>34</v>
      </c>
      <c r="F37" s="35" t="s">
        <v>35</v>
      </c>
      <c r="G37" s="35" t="s">
        <v>36</v>
      </c>
      <c r="H37" s="35" t="s">
        <v>37</v>
      </c>
      <c r="I37" s="35" t="s">
        <v>38</v>
      </c>
    </row>
    <row r="38" spans="1:9" x14ac:dyDescent="0.2">
      <c r="A38" s="29" t="s">
        <v>26</v>
      </c>
      <c r="B38" s="29">
        <v>-782.54068756284505</v>
      </c>
      <c r="C38" s="29">
        <v>407.4398594941062</v>
      </c>
      <c r="D38" s="29">
        <v>-1.9206286997410591</v>
      </c>
      <c r="E38" s="29">
        <v>7.2782847384467997E-2</v>
      </c>
      <c r="F38" s="29">
        <v>-1646.2746048183644</v>
      </c>
      <c r="G38" s="29">
        <v>81.193229692674265</v>
      </c>
      <c r="H38" s="29">
        <v>-1646.2746048183644</v>
      </c>
      <c r="I38" s="29">
        <v>81.193229692674265</v>
      </c>
    </row>
    <row r="39" spans="1:9" ht="16" thickBot="1" x14ac:dyDescent="0.25">
      <c r="A39" s="33" t="s">
        <v>39</v>
      </c>
      <c r="B39" s="33">
        <v>57.929311132008635</v>
      </c>
      <c r="C39" s="33">
        <v>8.4426182157514962</v>
      </c>
      <c r="D39" s="33">
        <v>6.8615339047227328</v>
      </c>
      <c r="E39" s="33">
        <v>3.8241430229603329E-6</v>
      </c>
      <c r="F39" s="33">
        <v>40.031760037135143</v>
      </c>
      <c r="G39" s="33">
        <v>75.826862226882128</v>
      </c>
      <c r="H39" s="33">
        <v>40.031760037135143</v>
      </c>
      <c r="I39" s="33">
        <v>75.826862226882128</v>
      </c>
    </row>
    <row r="43" spans="1:9" x14ac:dyDescent="0.2">
      <c r="A43" s="29" t="s">
        <v>141</v>
      </c>
      <c r="B43" s="29"/>
      <c r="C43" s="29"/>
      <c r="D43" s="29"/>
      <c r="E43" s="29"/>
      <c r="F43" s="29"/>
      <c r="G43" s="29"/>
      <c r="H43" s="29"/>
      <c r="I43" s="29"/>
    </row>
    <row r="44" spans="1:9" ht="16" thickBot="1" x14ac:dyDescent="0.25">
      <c r="A44" s="29"/>
      <c r="B44" s="29"/>
      <c r="C44" s="29"/>
      <c r="D44" s="29"/>
      <c r="E44" s="29"/>
      <c r="F44" s="29"/>
      <c r="G44" s="29"/>
      <c r="H44" s="29"/>
      <c r="I44" s="29"/>
    </row>
    <row r="45" spans="1:9" x14ac:dyDescent="0.2">
      <c r="A45" s="32" t="s">
        <v>16</v>
      </c>
      <c r="B45" s="32"/>
      <c r="C45" s="29"/>
      <c r="D45" s="29"/>
      <c r="E45" s="29"/>
      <c r="F45" s="29"/>
      <c r="G45" s="29"/>
      <c r="H45" s="29"/>
      <c r="I45" s="29"/>
    </row>
    <row r="46" spans="1:9" x14ac:dyDescent="0.2">
      <c r="A46" s="29" t="s">
        <v>17</v>
      </c>
      <c r="B46" s="29">
        <v>0.70670921584586643</v>
      </c>
      <c r="C46" s="29"/>
      <c r="D46" s="29"/>
      <c r="E46" s="29"/>
      <c r="F46" s="29"/>
      <c r="G46" s="29"/>
      <c r="H46" s="29"/>
      <c r="I46" s="29"/>
    </row>
    <row r="47" spans="1:9" x14ac:dyDescent="0.2">
      <c r="A47" s="29" t="s">
        <v>18</v>
      </c>
      <c r="B47" s="29">
        <v>0.49943791576147945</v>
      </c>
      <c r="C47" s="29"/>
      <c r="D47" s="29"/>
      <c r="E47" s="29"/>
      <c r="F47" s="29"/>
      <c r="G47" s="29"/>
      <c r="H47" s="29"/>
      <c r="I47" s="29"/>
    </row>
    <row r="48" spans="1:9" x14ac:dyDescent="0.2">
      <c r="A48" s="29" t="s">
        <v>19</v>
      </c>
      <c r="B48" s="29">
        <v>0.46815278549657191</v>
      </c>
      <c r="C48" s="29"/>
      <c r="D48" s="29"/>
      <c r="E48" s="29"/>
      <c r="F48" s="29"/>
      <c r="G48" s="29"/>
      <c r="H48" s="29"/>
      <c r="I48" s="29"/>
    </row>
    <row r="49" spans="1:9" x14ac:dyDescent="0.2">
      <c r="A49" s="29" t="s">
        <v>20</v>
      </c>
      <c r="B49" s="29">
        <v>1363.7868188887046</v>
      </c>
      <c r="C49" s="29"/>
      <c r="D49" s="29"/>
      <c r="E49" s="29"/>
      <c r="F49" s="29"/>
      <c r="G49" s="29"/>
      <c r="H49" s="29"/>
      <c r="I49" s="29"/>
    </row>
    <row r="50" spans="1:9" ht="16" thickBot="1" x14ac:dyDescent="0.25">
      <c r="A50" s="33" t="s">
        <v>21</v>
      </c>
      <c r="B50" s="33">
        <v>18</v>
      </c>
      <c r="C50" s="29"/>
      <c r="D50" s="29"/>
      <c r="E50" s="29"/>
      <c r="F50" s="29"/>
      <c r="G50" s="29"/>
      <c r="H50" s="29"/>
      <c r="I50" s="29"/>
    </row>
    <row r="51" spans="1:9" x14ac:dyDescent="0.2">
      <c r="A51" s="29"/>
      <c r="B51" s="29"/>
      <c r="C51" s="29"/>
      <c r="D51" s="29"/>
      <c r="E51" s="29"/>
      <c r="F51" s="29"/>
      <c r="G51" s="29"/>
      <c r="H51" s="29"/>
      <c r="I51" s="29"/>
    </row>
    <row r="52" spans="1:9" ht="16" thickBot="1" x14ac:dyDescent="0.25">
      <c r="A52" s="29" t="s">
        <v>22</v>
      </c>
      <c r="B52" s="29"/>
      <c r="C52" s="29"/>
      <c r="D52" s="29"/>
      <c r="E52" s="29"/>
      <c r="F52" s="29"/>
      <c r="G52" s="29"/>
      <c r="H52" s="29"/>
      <c r="I52" s="29"/>
    </row>
    <row r="53" spans="1:9" x14ac:dyDescent="0.2">
      <c r="A53" s="35"/>
      <c r="B53" s="35" t="s">
        <v>27</v>
      </c>
      <c r="C53" s="35" t="s">
        <v>28</v>
      </c>
      <c r="D53" s="35" t="s">
        <v>29</v>
      </c>
      <c r="E53" s="35" t="s">
        <v>30</v>
      </c>
      <c r="F53" s="35" t="s">
        <v>31</v>
      </c>
      <c r="G53" s="29"/>
      <c r="H53" s="29"/>
      <c r="I53" s="29"/>
    </row>
    <row r="54" spans="1:9" x14ac:dyDescent="0.2">
      <c r="A54" s="29" t="s">
        <v>23</v>
      </c>
      <c r="B54" s="29">
        <v>1</v>
      </c>
      <c r="C54" s="29">
        <v>29691799.497184623</v>
      </c>
      <c r="D54" s="29">
        <v>29691799.497184623</v>
      </c>
      <c r="E54" s="29">
        <v>15.964067003476663</v>
      </c>
      <c r="F54" s="29">
        <v>1.0418226014559974E-3</v>
      </c>
      <c r="G54" s="29"/>
      <c r="H54" s="29"/>
      <c r="I54" s="29"/>
    </row>
    <row r="55" spans="1:9" x14ac:dyDescent="0.2">
      <c r="A55" s="29" t="s">
        <v>24</v>
      </c>
      <c r="B55" s="29">
        <v>16</v>
      </c>
      <c r="C55" s="29">
        <v>29758631.797993157</v>
      </c>
      <c r="D55" s="29">
        <v>1859914.4873745723</v>
      </c>
      <c r="E55" s="29"/>
      <c r="F55" s="29"/>
      <c r="G55" s="29"/>
      <c r="H55" s="29"/>
      <c r="I55" s="29"/>
    </row>
    <row r="56" spans="1:9" ht="16" thickBot="1" x14ac:dyDescent="0.25">
      <c r="A56" s="33" t="s">
        <v>25</v>
      </c>
      <c r="B56" s="33">
        <v>17</v>
      </c>
      <c r="C56" s="33">
        <v>59450431.29517778</v>
      </c>
      <c r="D56" s="33"/>
      <c r="E56" s="33"/>
      <c r="F56" s="33"/>
      <c r="G56" s="29"/>
      <c r="H56" s="29"/>
      <c r="I56" s="29"/>
    </row>
    <row r="57" spans="1:9" ht="16" thickBot="1" x14ac:dyDescent="0.25">
      <c r="A57" s="29"/>
      <c r="B57" s="29"/>
      <c r="C57" s="29"/>
      <c r="D57" s="29"/>
      <c r="E57" s="29"/>
      <c r="F57" s="29"/>
      <c r="G57" s="29"/>
      <c r="H57" s="29"/>
      <c r="I57" s="29"/>
    </row>
    <row r="58" spans="1:9" x14ac:dyDescent="0.2">
      <c r="A58" s="35"/>
      <c r="B58" s="35" t="s">
        <v>32</v>
      </c>
      <c r="C58" s="35" t="s">
        <v>20</v>
      </c>
      <c r="D58" s="35" t="s">
        <v>33</v>
      </c>
      <c r="E58" s="35" t="s">
        <v>34</v>
      </c>
      <c r="F58" s="35" t="s">
        <v>35</v>
      </c>
      <c r="G58" s="35" t="s">
        <v>36</v>
      </c>
      <c r="H58" s="35" t="s">
        <v>37</v>
      </c>
      <c r="I58" s="35" t="s">
        <v>38</v>
      </c>
    </row>
    <row r="59" spans="1:9" x14ac:dyDescent="0.2">
      <c r="A59" s="29" t="s">
        <v>26</v>
      </c>
      <c r="B59" s="29">
        <v>-1904.8554173733492</v>
      </c>
      <c r="C59" s="29">
        <v>917.95417886026962</v>
      </c>
      <c r="D59" s="29">
        <v>-2.0751094784909792</v>
      </c>
      <c r="E59" s="29">
        <v>5.4464131723026263E-2</v>
      </c>
      <c r="F59" s="29">
        <v>-3850.8313455815305</v>
      </c>
      <c r="G59" s="29">
        <v>41.120510834832182</v>
      </c>
      <c r="H59" s="29">
        <v>-3850.8313455815305</v>
      </c>
      <c r="I59" s="29">
        <v>41.120510834832182</v>
      </c>
    </row>
    <row r="60" spans="1:9" ht="16" thickBot="1" x14ac:dyDescent="0.25">
      <c r="A60" s="33" t="s">
        <v>39</v>
      </c>
      <c r="B60" s="33">
        <v>54.393995314040673</v>
      </c>
      <c r="C60" s="33">
        <v>13.613794434479772</v>
      </c>
      <c r="D60" s="33">
        <v>3.9955058507624108</v>
      </c>
      <c r="E60" s="33">
        <v>1.0418226014559993E-3</v>
      </c>
      <c r="F60" s="33">
        <v>25.534040349878175</v>
      </c>
      <c r="G60" s="33">
        <v>83.253950278203163</v>
      </c>
      <c r="H60" s="33">
        <v>25.534040349878175</v>
      </c>
      <c r="I60" s="33">
        <v>83.253950278203163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E8243-0342-BC47-AD05-B22B881FF9EA}">
  <dimension ref="A1:S66"/>
  <sheetViews>
    <sheetView zoomScale="75" workbookViewId="0">
      <selection activeCell="V12" sqref="V12"/>
    </sheetView>
  </sheetViews>
  <sheetFormatPr baseColWidth="10" defaultRowHeight="15" x14ac:dyDescent="0.2"/>
  <cols>
    <col min="1" max="1" width="24.5" bestFit="1" customWidth="1"/>
    <col min="2" max="2" width="22.83203125" bestFit="1" customWidth="1"/>
    <col min="3" max="3" width="17.6640625" bestFit="1" customWidth="1"/>
    <col min="4" max="4" width="16" bestFit="1" customWidth="1"/>
    <col min="5" max="5" width="15.33203125" bestFit="1" customWidth="1"/>
    <col min="6" max="6" width="12.1640625" bestFit="1" customWidth="1"/>
    <col min="7" max="7" width="11.6640625" bestFit="1" customWidth="1"/>
    <col min="8" max="8" width="12.33203125" bestFit="1" customWidth="1"/>
    <col min="9" max="9" width="12.6640625" bestFit="1" customWidth="1"/>
    <col min="10" max="10" width="18.83203125" customWidth="1"/>
    <col min="11" max="11" width="28.6640625" bestFit="1" customWidth="1"/>
    <col min="12" max="12" width="14.5" bestFit="1" customWidth="1"/>
    <col min="13" max="13" width="19.83203125" bestFit="1" customWidth="1"/>
    <col min="14" max="14" width="13.5" bestFit="1" customWidth="1"/>
    <col min="15" max="15" width="11.6640625" bestFit="1" customWidth="1"/>
    <col min="16" max="16" width="13" bestFit="1" customWidth="1"/>
    <col min="17" max="19" width="12.1640625" bestFit="1" customWidth="1"/>
  </cols>
  <sheetData>
    <row r="1" spans="1:19" ht="65" thickBot="1" x14ac:dyDescent="0.25">
      <c r="A1" s="39" t="s">
        <v>48</v>
      </c>
      <c r="B1" s="39" t="s">
        <v>41</v>
      </c>
      <c r="C1" s="39" t="s">
        <v>43</v>
      </c>
      <c r="D1" s="39" t="s">
        <v>42</v>
      </c>
      <c r="E1" s="39" t="s">
        <v>40</v>
      </c>
      <c r="K1" s="42" t="s">
        <v>52</v>
      </c>
    </row>
    <row r="2" spans="1:19" ht="64" x14ac:dyDescent="0.2">
      <c r="A2" s="23" t="s">
        <v>41</v>
      </c>
      <c r="B2" s="38">
        <v>1</v>
      </c>
      <c r="C2" s="38"/>
      <c r="D2" s="38"/>
      <c r="E2" s="38"/>
      <c r="K2" s="47" t="s">
        <v>53</v>
      </c>
      <c r="L2" s="48"/>
      <c r="M2" s="48"/>
      <c r="N2" s="48"/>
      <c r="O2" s="48"/>
      <c r="P2" s="48"/>
      <c r="Q2" s="48"/>
      <c r="R2" s="48"/>
      <c r="S2" s="49"/>
    </row>
    <row r="3" spans="1:19" ht="33" thickBot="1" x14ac:dyDescent="0.25">
      <c r="A3" s="23" t="s">
        <v>43</v>
      </c>
      <c r="B3" s="38">
        <v>0.79729190150242935</v>
      </c>
      <c r="C3" s="38">
        <v>1</v>
      </c>
      <c r="D3" s="38"/>
      <c r="E3" s="38"/>
      <c r="K3" s="50"/>
      <c r="L3" s="130"/>
      <c r="M3" s="130"/>
      <c r="N3" s="130"/>
      <c r="O3" s="130"/>
      <c r="P3" s="130"/>
      <c r="Q3" s="130"/>
      <c r="R3" s="130"/>
      <c r="S3" s="51"/>
    </row>
    <row r="4" spans="1:19" ht="32" x14ac:dyDescent="0.2">
      <c r="A4" s="23" t="s">
        <v>42</v>
      </c>
      <c r="B4" s="38">
        <v>0.68694871096295784</v>
      </c>
      <c r="C4" s="38">
        <v>0.91908108192970617</v>
      </c>
      <c r="D4" s="38">
        <v>1</v>
      </c>
      <c r="E4" s="38"/>
      <c r="K4" s="44" t="s">
        <v>16</v>
      </c>
      <c r="L4" s="45"/>
      <c r="M4" s="130"/>
      <c r="N4" s="130"/>
      <c r="O4" s="130"/>
      <c r="P4" s="130"/>
      <c r="Q4" s="130"/>
      <c r="R4" s="130"/>
      <c r="S4" s="51"/>
    </row>
    <row r="5" spans="1:19" ht="32" x14ac:dyDescent="0.2">
      <c r="A5" s="23" t="s">
        <v>40</v>
      </c>
      <c r="B5" s="38">
        <v>0.9296089735452584</v>
      </c>
      <c r="C5" s="38">
        <v>0.86391923238657209</v>
      </c>
      <c r="D5" s="38">
        <v>0.70670921584586655</v>
      </c>
      <c r="E5" s="38">
        <v>1</v>
      </c>
      <c r="K5" s="50" t="s">
        <v>17</v>
      </c>
      <c r="L5" s="130">
        <v>0.95159336366944325</v>
      </c>
      <c r="M5" s="130"/>
      <c r="N5" s="130"/>
      <c r="O5" s="130"/>
      <c r="P5" s="130"/>
      <c r="Q5" s="130"/>
      <c r="R5" s="130"/>
      <c r="S5" s="51"/>
    </row>
    <row r="6" spans="1:19" ht="16" x14ac:dyDescent="0.2">
      <c r="A6" s="129"/>
      <c r="B6" s="129"/>
      <c r="C6" s="129"/>
      <c r="D6" s="129"/>
      <c r="E6" s="129"/>
      <c r="K6" s="50" t="s">
        <v>18</v>
      </c>
      <c r="L6" s="130">
        <v>0.90552992977972524</v>
      </c>
      <c r="M6" s="130"/>
      <c r="N6" s="130"/>
      <c r="O6" s="130"/>
      <c r="P6" s="130"/>
      <c r="Q6" s="130"/>
      <c r="R6" s="130"/>
      <c r="S6" s="51"/>
    </row>
    <row r="7" spans="1:19" ht="64" x14ac:dyDescent="0.2">
      <c r="A7" s="39" t="s">
        <v>48</v>
      </c>
      <c r="B7" s="39" t="s">
        <v>41</v>
      </c>
      <c r="C7" s="39" t="s">
        <v>43</v>
      </c>
      <c r="D7" s="39" t="s">
        <v>42</v>
      </c>
      <c r="E7" s="39" t="s">
        <v>40</v>
      </c>
      <c r="K7" s="50" t="s">
        <v>19</v>
      </c>
      <c r="L7" s="130">
        <v>0.89293392041702191</v>
      </c>
      <c r="M7" s="130"/>
      <c r="N7" s="130"/>
      <c r="O7" s="130"/>
      <c r="P7" s="130"/>
      <c r="Q7" s="130"/>
      <c r="R7" s="130"/>
      <c r="S7" s="51"/>
    </row>
    <row r="8" spans="1:19" ht="64" x14ac:dyDescent="0.2">
      <c r="A8" s="23" t="s">
        <v>41</v>
      </c>
      <c r="B8" s="40" t="str">
        <f>IF(B2&lt;0.7, "Связь отсутствует", "Связь есть")</f>
        <v>Связь есть</v>
      </c>
      <c r="C8" s="40"/>
      <c r="D8" s="40"/>
      <c r="E8" s="40"/>
      <c r="K8" s="50" t="s">
        <v>20</v>
      </c>
      <c r="L8" s="130">
        <v>611.8979445997544</v>
      </c>
      <c r="M8" s="130"/>
      <c r="N8" s="130"/>
      <c r="O8" s="130"/>
      <c r="P8" s="130"/>
      <c r="Q8" s="130"/>
      <c r="R8" s="130"/>
      <c r="S8" s="51"/>
    </row>
    <row r="9" spans="1:19" ht="33" thickBot="1" x14ac:dyDescent="0.25">
      <c r="A9" s="23" t="s">
        <v>43</v>
      </c>
      <c r="B9" s="40" t="str">
        <f t="shared" ref="B9:E11" si="0">IF(B3&lt;0.7, "Связь отсутствует", "Связь есть")</f>
        <v>Связь есть</v>
      </c>
      <c r="C9" s="40" t="str">
        <f t="shared" si="0"/>
        <v>Связь есть</v>
      </c>
      <c r="D9" s="40"/>
      <c r="E9" s="40"/>
      <c r="K9" s="54" t="s">
        <v>21</v>
      </c>
      <c r="L9" s="55">
        <v>18</v>
      </c>
      <c r="M9" s="130"/>
      <c r="N9" s="130"/>
      <c r="O9" s="130"/>
      <c r="P9" s="130"/>
      <c r="Q9" s="130"/>
      <c r="R9" s="130"/>
      <c r="S9" s="51"/>
    </row>
    <row r="10" spans="1:19" ht="32" x14ac:dyDescent="0.2">
      <c r="A10" s="23" t="s">
        <v>42</v>
      </c>
      <c r="B10" s="40" t="str">
        <f t="shared" si="0"/>
        <v>Связь отсутствует</v>
      </c>
      <c r="C10" s="40" t="str">
        <f t="shared" ref="C10" si="1">IF(C4&lt;0.7, "Связь отсутствует", "Связь есть")</f>
        <v>Связь есть</v>
      </c>
      <c r="D10" s="40" t="str">
        <f t="shared" si="0"/>
        <v>Связь есть</v>
      </c>
      <c r="E10" s="40"/>
      <c r="K10" s="50"/>
      <c r="L10" s="130"/>
      <c r="M10" s="130"/>
      <c r="N10" s="130"/>
      <c r="O10" s="130"/>
      <c r="P10" s="130"/>
      <c r="Q10" s="130"/>
      <c r="R10" s="130"/>
      <c r="S10" s="51"/>
    </row>
    <row r="11" spans="1:19" ht="33" thickBot="1" x14ac:dyDescent="0.25">
      <c r="A11" s="23" t="s">
        <v>40</v>
      </c>
      <c r="B11" s="40" t="str">
        <f t="shared" si="0"/>
        <v>Связь есть</v>
      </c>
      <c r="C11" s="40" t="str">
        <f t="shared" ref="C11" si="2">IF(C5&lt;0.7, "Связь отсутствует", "Связь есть")</f>
        <v>Связь есть</v>
      </c>
      <c r="D11" s="40" t="str">
        <f t="shared" si="0"/>
        <v>Связь есть</v>
      </c>
      <c r="E11" s="40" t="str">
        <f t="shared" si="0"/>
        <v>Связь есть</v>
      </c>
      <c r="K11" s="50" t="s">
        <v>22</v>
      </c>
      <c r="L11" s="130"/>
      <c r="M11" s="130"/>
      <c r="N11" s="130"/>
      <c r="O11" s="130"/>
      <c r="P11" s="130"/>
      <c r="Q11" s="130"/>
      <c r="R11" s="130"/>
      <c r="S11" s="51"/>
    </row>
    <row r="12" spans="1:19" ht="17" thickBot="1" x14ac:dyDescent="0.25">
      <c r="K12" s="44"/>
      <c r="L12" s="45" t="s">
        <v>27</v>
      </c>
      <c r="M12" s="45" t="s">
        <v>28</v>
      </c>
      <c r="N12" s="45" t="s">
        <v>29</v>
      </c>
      <c r="O12" s="45" t="s">
        <v>30</v>
      </c>
      <c r="P12" s="45" t="s">
        <v>31</v>
      </c>
      <c r="Q12" s="130"/>
      <c r="R12" s="130"/>
      <c r="S12" s="51"/>
    </row>
    <row r="13" spans="1:19" ht="17" thickBot="1" x14ac:dyDescent="0.25">
      <c r="A13" s="25" t="s">
        <v>53</v>
      </c>
      <c r="B13" s="26"/>
      <c r="C13" s="26"/>
      <c r="D13" s="26"/>
      <c r="E13" s="26"/>
      <c r="F13" s="26"/>
      <c r="G13" s="26"/>
      <c r="H13" s="26"/>
      <c r="I13" s="27"/>
      <c r="K13" s="50" t="s">
        <v>23</v>
      </c>
      <c r="L13" s="130">
        <v>2</v>
      </c>
      <c r="M13" s="130">
        <v>53834144.876096718</v>
      </c>
      <c r="N13" s="130">
        <v>26917072.438048359</v>
      </c>
      <c r="O13" s="130">
        <v>71.890223618044757</v>
      </c>
      <c r="P13" s="131">
        <v>2.063986185963019E-8</v>
      </c>
      <c r="Q13" s="130"/>
      <c r="R13" s="130"/>
      <c r="S13" s="51"/>
    </row>
    <row r="14" spans="1:19" ht="16" x14ac:dyDescent="0.2">
      <c r="A14" s="52" t="s">
        <v>16</v>
      </c>
      <c r="B14" s="53"/>
      <c r="C14" s="130"/>
      <c r="D14" s="130"/>
      <c r="E14" s="130"/>
      <c r="F14" s="130"/>
      <c r="G14" s="130"/>
      <c r="H14" s="130"/>
      <c r="I14" s="51"/>
      <c r="K14" s="50" t="s">
        <v>24</v>
      </c>
      <c r="L14" s="130">
        <v>15</v>
      </c>
      <c r="M14" s="130">
        <v>5616286.4190810621</v>
      </c>
      <c r="N14" s="130">
        <v>374419.09460540413</v>
      </c>
      <c r="O14" s="130"/>
      <c r="P14" s="130"/>
      <c r="Q14" s="130"/>
      <c r="R14" s="130"/>
      <c r="S14" s="51"/>
    </row>
    <row r="15" spans="1:19" ht="17" thickBot="1" x14ac:dyDescent="0.25">
      <c r="A15" s="50" t="s">
        <v>17</v>
      </c>
      <c r="B15" s="130">
        <v>0.96294730016385521</v>
      </c>
      <c r="C15" s="130"/>
      <c r="D15" s="130"/>
      <c r="E15" s="130"/>
      <c r="F15" s="130"/>
      <c r="G15" s="130"/>
      <c r="H15" s="130"/>
      <c r="I15" s="51"/>
      <c r="K15" s="54" t="s">
        <v>25</v>
      </c>
      <c r="L15" s="55">
        <v>17</v>
      </c>
      <c r="M15" s="55">
        <v>59450431.29517778</v>
      </c>
      <c r="N15" s="55"/>
      <c r="O15" s="55"/>
      <c r="P15" s="55"/>
      <c r="Q15" s="130"/>
      <c r="R15" s="130"/>
      <c r="S15" s="51"/>
    </row>
    <row r="16" spans="1:19" ht="17" thickBot="1" x14ac:dyDescent="0.25">
      <c r="A16" s="50" t="s">
        <v>18</v>
      </c>
      <c r="B16" s="130">
        <v>0.92726750289285798</v>
      </c>
      <c r="C16" s="130"/>
      <c r="D16" s="130"/>
      <c r="E16" s="130"/>
      <c r="F16" s="130"/>
      <c r="G16" s="130"/>
      <c r="H16" s="130"/>
      <c r="I16" s="51"/>
      <c r="K16" s="50"/>
      <c r="L16" s="130"/>
      <c r="M16" s="130"/>
      <c r="N16" s="130"/>
      <c r="O16" s="130"/>
      <c r="P16" s="130"/>
      <c r="Q16" s="130"/>
      <c r="R16" s="130"/>
      <c r="S16" s="51"/>
    </row>
    <row r="17" spans="1:19" ht="32" x14ac:dyDescent="0.2">
      <c r="A17" s="50" t="s">
        <v>19</v>
      </c>
      <c r="B17" s="130">
        <v>0.91168196779847044</v>
      </c>
      <c r="C17" s="130"/>
      <c r="D17" s="130"/>
      <c r="E17" s="130"/>
      <c r="F17" s="130"/>
      <c r="G17" s="130"/>
      <c r="H17" s="130"/>
      <c r="I17" s="51"/>
      <c r="K17" s="44"/>
      <c r="L17" s="45" t="s">
        <v>32</v>
      </c>
      <c r="M17" s="45" t="s">
        <v>20</v>
      </c>
      <c r="N17" s="45" t="s">
        <v>33</v>
      </c>
      <c r="O17" s="45" t="s">
        <v>34</v>
      </c>
      <c r="P17" s="45" t="s">
        <v>35</v>
      </c>
      <c r="Q17" s="45" t="s">
        <v>36</v>
      </c>
      <c r="R17" s="45" t="s">
        <v>37</v>
      </c>
      <c r="S17" s="46" t="s">
        <v>38</v>
      </c>
    </row>
    <row r="18" spans="1:19" ht="16" x14ac:dyDescent="0.2">
      <c r="A18" s="50" t="s">
        <v>20</v>
      </c>
      <c r="B18" s="130">
        <v>555.74777952097156</v>
      </c>
      <c r="C18" s="130"/>
      <c r="D18" s="130"/>
      <c r="E18" s="130"/>
      <c r="F18" s="130"/>
      <c r="G18" s="130"/>
      <c r="H18" s="130"/>
      <c r="I18" s="51"/>
      <c r="K18" s="50" t="s">
        <v>26</v>
      </c>
      <c r="L18" s="130">
        <v>-937.78467336500898</v>
      </c>
      <c r="M18" s="130">
        <v>258.66061482833106</v>
      </c>
      <c r="N18" s="130">
        <v>-3.6255410356439528</v>
      </c>
      <c r="O18" s="130">
        <v>2.4916930427660946E-3</v>
      </c>
      <c r="P18" s="130">
        <v>-1489.106723295067</v>
      </c>
      <c r="Q18" s="130">
        <v>-386.46262343495096</v>
      </c>
      <c r="R18" s="130">
        <v>-1489.106723295067</v>
      </c>
      <c r="S18" s="51">
        <v>-386.46262343495096</v>
      </c>
    </row>
    <row r="19" spans="1:19" ht="17" thickBot="1" x14ac:dyDescent="0.25">
      <c r="A19" s="54" t="s">
        <v>21</v>
      </c>
      <c r="B19" s="55">
        <v>18</v>
      </c>
      <c r="C19" s="130"/>
      <c r="D19" s="130"/>
      <c r="E19" s="130"/>
      <c r="F19" s="130"/>
      <c r="G19" s="130"/>
      <c r="H19" s="130"/>
      <c r="I19" s="51"/>
      <c r="K19" s="50" t="s">
        <v>39</v>
      </c>
      <c r="L19" s="130">
        <v>4.1306000917253565</v>
      </c>
      <c r="M19" s="130">
        <v>0.82163564316405502</v>
      </c>
      <c r="N19" s="130">
        <v>5.0272893174628308</v>
      </c>
      <c r="O19" s="131">
        <v>1.5021951466775074E-4</v>
      </c>
      <c r="P19" s="130">
        <v>2.3793251734876186</v>
      </c>
      <c r="Q19" s="130">
        <v>5.8818750099630943</v>
      </c>
      <c r="R19" s="130">
        <v>2.3793251734876186</v>
      </c>
      <c r="S19" s="51">
        <v>5.8818750099630943</v>
      </c>
    </row>
    <row r="20" spans="1:19" ht="17" thickBot="1" x14ac:dyDescent="0.25">
      <c r="A20" s="50"/>
      <c r="B20" s="130"/>
      <c r="C20" s="130"/>
      <c r="D20" s="130"/>
      <c r="E20" s="130"/>
      <c r="F20" s="130"/>
      <c r="G20" s="130"/>
      <c r="H20" s="130"/>
      <c r="I20" s="51"/>
      <c r="K20" s="54" t="s">
        <v>49</v>
      </c>
      <c r="L20" s="55">
        <v>22.592033802443868</v>
      </c>
      <c r="M20" s="55">
        <v>8.816208505318615</v>
      </c>
      <c r="N20" s="55">
        <v>2.5625566578665437</v>
      </c>
      <c r="O20" s="133">
        <v>2.1651918601130946E-2</v>
      </c>
      <c r="P20" s="55">
        <v>3.8007301902222905</v>
      </c>
      <c r="Q20" s="55">
        <v>41.383337414665448</v>
      </c>
      <c r="R20" s="55">
        <v>3.8007301902222905</v>
      </c>
      <c r="S20" s="56">
        <v>41.383337414665448</v>
      </c>
    </row>
    <row r="21" spans="1:19" ht="17" thickBot="1" x14ac:dyDescent="0.25">
      <c r="A21" s="50" t="s">
        <v>22</v>
      </c>
      <c r="B21" s="130"/>
      <c r="C21" s="130"/>
      <c r="D21" s="130"/>
      <c r="E21" s="130"/>
      <c r="F21" s="130"/>
      <c r="G21" s="130"/>
      <c r="H21" s="130"/>
      <c r="I21" s="51"/>
      <c r="K21" s="64"/>
      <c r="L21" s="64"/>
      <c r="M21" s="64"/>
      <c r="N21" s="64"/>
      <c r="O21" s="64"/>
      <c r="P21" s="64"/>
      <c r="Q21" s="64"/>
      <c r="R21" s="64"/>
      <c r="S21" s="64"/>
    </row>
    <row r="22" spans="1:19" ht="32" x14ac:dyDescent="0.2">
      <c r="A22" s="44"/>
      <c r="B22" s="45" t="s">
        <v>27</v>
      </c>
      <c r="C22" s="45" t="s">
        <v>28</v>
      </c>
      <c r="D22" s="45" t="s">
        <v>29</v>
      </c>
      <c r="E22" s="45" t="s">
        <v>30</v>
      </c>
      <c r="F22" s="45" t="s">
        <v>31</v>
      </c>
      <c r="G22" s="130"/>
      <c r="H22" s="130"/>
      <c r="I22" s="51"/>
      <c r="K22" s="64"/>
      <c r="L22" s="64"/>
      <c r="M22" s="64"/>
      <c r="N22" s="64"/>
      <c r="O22" s="64"/>
      <c r="P22" s="64"/>
      <c r="Q22" s="64"/>
      <c r="R22" s="64"/>
      <c r="S22" s="64"/>
    </row>
    <row r="23" spans="1:19" ht="17" thickBot="1" x14ac:dyDescent="0.25">
      <c r="A23" s="50" t="s">
        <v>23</v>
      </c>
      <c r="B23" s="130">
        <v>3</v>
      </c>
      <c r="C23" s="130">
        <v>55126452.972982913</v>
      </c>
      <c r="D23" s="130">
        <v>18375484.324327637</v>
      </c>
      <c r="E23" s="130">
        <v>59.495390904273208</v>
      </c>
      <c r="F23" s="131">
        <v>3.273673322148804E-8</v>
      </c>
      <c r="G23" s="130"/>
      <c r="H23" s="130"/>
      <c r="I23" s="51"/>
      <c r="K23" s="64"/>
      <c r="L23" s="64"/>
      <c r="M23" s="64"/>
      <c r="N23" s="64"/>
      <c r="O23" s="64"/>
      <c r="P23" s="64"/>
      <c r="Q23" s="64"/>
      <c r="R23" s="64"/>
      <c r="S23" s="64"/>
    </row>
    <row r="24" spans="1:19" ht="16" x14ac:dyDescent="0.2">
      <c r="A24" s="50" t="s">
        <v>24</v>
      </c>
      <c r="B24" s="130">
        <v>14</v>
      </c>
      <c r="C24" s="130">
        <v>4323978.322194865</v>
      </c>
      <c r="D24" s="130">
        <v>308855.59444249037</v>
      </c>
      <c r="E24" s="130"/>
      <c r="F24" s="130"/>
      <c r="G24" s="130"/>
      <c r="H24" s="130"/>
      <c r="I24" s="51"/>
      <c r="K24" s="47" t="s">
        <v>53</v>
      </c>
      <c r="L24" s="48"/>
      <c r="M24" s="48"/>
      <c r="N24" s="48"/>
      <c r="O24" s="48"/>
      <c r="P24" s="48"/>
      <c r="Q24" s="48"/>
      <c r="R24" s="48"/>
      <c r="S24" s="49"/>
    </row>
    <row r="25" spans="1:19" ht="17" thickBot="1" x14ac:dyDescent="0.25">
      <c r="A25" s="54" t="s">
        <v>25</v>
      </c>
      <c r="B25" s="55">
        <v>17</v>
      </c>
      <c r="C25" s="55">
        <v>59450431.29517778</v>
      </c>
      <c r="D25" s="55"/>
      <c r="E25" s="55"/>
      <c r="F25" s="55"/>
      <c r="G25" s="130"/>
      <c r="H25" s="130"/>
      <c r="I25" s="51"/>
      <c r="K25" s="50"/>
      <c r="L25" s="130"/>
      <c r="M25" s="130"/>
      <c r="N25" s="130"/>
      <c r="O25" s="130"/>
      <c r="P25" s="130"/>
      <c r="Q25" s="130"/>
      <c r="R25" s="130"/>
      <c r="S25" s="51"/>
    </row>
    <row r="26" spans="1:19" ht="16" x14ac:dyDescent="0.2">
      <c r="A26" s="50"/>
      <c r="B26" s="130"/>
      <c r="C26" s="130"/>
      <c r="D26" s="130"/>
      <c r="E26" s="130"/>
      <c r="F26" s="130"/>
      <c r="G26" s="130"/>
      <c r="H26" s="130"/>
      <c r="I26" s="51"/>
      <c r="K26" s="44" t="s">
        <v>16</v>
      </c>
      <c r="L26" s="45"/>
      <c r="M26" s="130"/>
      <c r="N26" s="130"/>
      <c r="O26" s="130"/>
      <c r="P26" s="130"/>
      <c r="Q26" s="130"/>
      <c r="R26" s="130"/>
      <c r="S26" s="51"/>
    </row>
    <row r="27" spans="1:19" ht="32" x14ac:dyDescent="0.2">
      <c r="A27" s="50"/>
      <c r="B27" s="130" t="s">
        <v>32</v>
      </c>
      <c r="C27" s="130" t="s">
        <v>20</v>
      </c>
      <c r="D27" s="130" t="s">
        <v>33</v>
      </c>
      <c r="E27" s="130" t="s">
        <v>34</v>
      </c>
      <c r="F27" s="130" t="s">
        <v>35</v>
      </c>
      <c r="G27" s="130" t="s">
        <v>36</v>
      </c>
      <c r="H27" s="130" t="s">
        <v>37</v>
      </c>
      <c r="I27" s="51" t="s">
        <v>38</v>
      </c>
      <c r="K27" s="50" t="s">
        <v>17</v>
      </c>
      <c r="L27" s="130">
        <v>0.97570999800603997</v>
      </c>
      <c r="M27" s="130"/>
      <c r="N27" s="130"/>
      <c r="O27" s="130"/>
      <c r="P27" s="130"/>
      <c r="Q27" s="130"/>
      <c r="R27" s="130"/>
      <c r="S27" s="51"/>
    </row>
    <row r="28" spans="1:19" ht="16" x14ac:dyDescent="0.2">
      <c r="A28" s="50" t="s">
        <v>26</v>
      </c>
      <c r="B28" s="130">
        <v>-11.300111155280774</v>
      </c>
      <c r="C28" s="130">
        <v>510.23229647213486</v>
      </c>
      <c r="D28" s="130">
        <v>-2.2146993111593249E-2</v>
      </c>
      <c r="E28" s="130">
        <v>0.98264326266049773</v>
      </c>
      <c r="F28" s="130">
        <v>-1105.6395483744461</v>
      </c>
      <c r="G28" s="130">
        <v>1083.0393260638846</v>
      </c>
      <c r="H28" s="130">
        <v>-1105.6395483744461</v>
      </c>
      <c r="I28" s="51">
        <v>1083.0393260638846</v>
      </c>
      <c r="K28" s="50" t="s">
        <v>18</v>
      </c>
      <c r="L28" s="130">
        <v>0.95201000020894655</v>
      </c>
      <c r="M28" s="130"/>
      <c r="N28" s="130"/>
      <c r="O28" s="130"/>
      <c r="P28" s="130"/>
      <c r="Q28" s="130"/>
      <c r="R28" s="130"/>
      <c r="S28" s="51"/>
    </row>
    <row r="29" spans="1:19" ht="16" x14ac:dyDescent="0.2">
      <c r="A29" s="50" t="s">
        <v>39</v>
      </c>
      <c r="B29" s="130">
        <v>3.8308881630983165</v>
      </c>
      <c r="C29" s="130">
        <v>0.76048742007193859</v>
      </c>
      <c r="D29" s="130">
        <v>5.0374116152190025</v>
      </c>
      <c r="E29" s="131">
        <v>1.8149397829741318E-4</v>
      </c>
      <c r="F29" s="130">
        <v>2.1998048681990672</v>
      </c>
      <c r="G29" s="130">
        <v>5.4619714579975653</v>
      </c>
      <c r="H29" s="130">
        <v>2.1998048681990672</v>
      </c>
      <c r="I29" s="51">
        <v>5.4619714579975653</v>
      </c>
      <c r="K29" s="50" t="s">
        <v>19</v>
      </c>
      <c r="L29" s="130">
        <v>0.94172642882514945</v>
      </c>
      <c r="M29" s="130"/>
      <c r="N29" s="130"/>
      <c r="O29" s="130"/>
      <c r="P29" s="130"/>
      <c r="Q29" s="130"/>
      <c r="R29" s="130"/>
      <c r="S29" s="51"/>
    </row>
    <row r="30" spans="1:19" ht="16" x14ac:dyDescent="0.2">
      <c r="A30" s="50" t="s">
        <v>49</v>
      </c>
      <c r="B30" s="130">
        <v>48.65385261225066</v>
      </c>
      <c r="C30" s="130">
        <v>15.048097897645293</v>
      </c>
      <c r="D30" s="130">
        <v>3.2332227596594749</v>
      </c>
      <c r="E30" s="131">
        <v>6.0099798563325226E-3</v>
      </c>
      <c r="F30" s="130">
        <v>16.378892562897136</v>
      </c>
      <c r="G30" s="130">
        <v>80.928812661604184</v>
      </c>
      <c r="H30" s="130">
        <v>16.378892562897136</v>
      </c>
      <c r="I30" s="51">
        <v>80.928812661604184</v>
      </c>
      <c r="K30" s="50" t="s">
        <v>20</v>
      </c>
      <c r="L30" s="130">
        <v>451.42838266310838</v>
      </c>
      <c r="M30" s="130"/>
      <c r="N30" s="130"/>
      <c r="O30" s="130"/>
      <c r="P30" s="130"/>
      <c r="Q30" s="130"/>
      <c r="R30" s="130"/>
      <c r="S30" s="51"/>
    </row>
    <row r="31" spans="1:19" ht="17" thickBot="1" x14ac:dyDescent="0.25">
      <c r="A31" s="54" t="s">
        <v>50</v>
      </c>
      <c r="B31" s="55">
        <v>-29.346617961748859</v>
      </c>
      <c r="C31" s="55">
        <v>14.346724606456878</v>
      </c>
      <c r="D31" s="55">
        <v>-2.0455273776246559</v>
      </c>
      <c r="E31" s="132">
        <v>6.0070719574845971E-2</v>
      </c>
      <c r="F31" s="55">
        <v>-60.117281912900367</v>
      </c>
      <c r="G31" s="55">
        <v>1.4240459894026531</v>
      </c>
      <c r="H31" s="55">
        <v>-60.117281912900367</v>
      </c>
      <c r="I31" s="56">
        <v>1.4240459894026531</v>
      </c>
      <c r="K31" s="54" t="s">
        <v>21</v>
      </c>
      <c r="L31" s="55">
        <v>18</v>
      </c>
      <c r="M31" s="130"/>
      <c r="N31" s="130"/>
      <c r="O31" s="130"/>
      <c r="P31" s="130"/>
      <c r="Q31" s="130"/>
      <c r="R31" s="130"/>
      <c r="S31" s="51"/>
    </row>
    <row r="32" spans="1:19" x14ac:dyDescent="0.2">
      <c r="K32" s="50"/>
      <c r="L32" s="130"/>
      <c r="M32" s="130"/>
      <c r="N32" s="130"/>
      <c r="O32" s="130"/>
      <c r="P32" s="130"/>
      <c r="Q32" s="130"/>
      <c r="R32" s="130"/>
      <c r="S32" s="51"/>
    </row>
    <row r="33" spans="1:19" ht="17" thickBot="1" x14ac:dyDescent="0.25">
      <c r="A33" s="152" t="s">
        <v>51</v>
      </c>
      <c r="B33" s="153"/>
      <c r="C33" s="153"/>
      <c r="D33" s="153"/>
      <c r="E33" s="153"/>
      <c r="F33" s="153"/>
      <c r="G33" s="154"/>
      <c r="K33" s="50" t="s">
        <v>22</v>
      </c>
      <c r="L33" s="130"/>
      <c r="M33" s="130"/>
      <c r="N33" s="130"/>
      <c r="O33" s="130"/>
      <c r="P33" s="130"/>
      <c r="Q33" s="130"/>
      <c r="R33" s="130"/>
      <c r="S33" s="51"/>
    </row>
    <row r="34" spans="1:19" ht="16" x14ac:dyDescent="0.2">
      <c r="A34" s="143" t="s">
        <v>106</v>
      </c>
      <c r="B34" s="144"/>
      <c r="C34" s="144"/>
      <c r="D34" s="144"/>
      <c r="E34" s="144"/>
      <c r="F34" s="144"/>
      <c r="G34" s="145"/>
      <c r="K34" s="44"/>
      <c r="L34" s="45" t="s">
        <v>27</v>
      </c>
      <c r="M34" s="45" t="s">
        <v>28</v>
      </c>
      <c r="N34" s="45" t="s">
        <v>29</v>
      </c>
      <c r="O34" s="45" t="s">
        <v>30</v>
      </c>
      <c r="P34" s="45" t="s">
        <v>31</v>
      </c>
      <c r="Q34" s="130"/>
      <c r="R34" s="130"/>
      <c r="S34" s="51"/>
    </row>
    <row r="35" spans="1:19" ht="16" x14ac:dyDescent="0.2">
      <c r="A35" s="146"/>
      <c r="B35" s="147"/>
      <c r="C35" s="147"/>
      <c r="D35" s="147"/>
      <c r="E35" s="147"/>
      <c r="F35" s="147"/>
      <c r="G35" s="148"/>
      <c r="K35" s="50" t="s">
        <v>23</v>
      </c>
      <c r="L35" s="130">
        <v>3</v>
      </c>
      <c r="M35" s="130">
        <v>56597405.109744161</v>
      </c>
      <c r="N35" s="130">
        <v>18865801.703248054</v>
      </c>
      <c r="O35" s="130">
        <v>92.575814829168934</v>
      </c>
      <c r="P35" s="131">
        <v>1.8028389143512151E-9</v>
      </c>
      <c r="Q35" s="130"/>
      <c r="R35" s="130"/>
      <c r="S35" s="51"/>
    </row>
    <row r="36" spans="1:19" ht="16" x14ac:dyDescent="0.2">
      <c r="A36" s="146"/>
      <c r="B36" s="147"/>
      <c r="C36" s="147"/>
      <c r="D36" s="147"/>
      <c r="E36" s="147"/>
      <c r="F36" s="147"/>
      <c r="G36" s="148"/>
      <c r="K36" s="50" t="s">
        <v>24</v>
      </c>
      <c r="L36" s="130">
        <v>14</v>
      </c>
      <c r="M36" s="130">
        <v>2853026.1854336173</v>
      </c>
      <c r="N36" s="130">
        <v>203787.58467382981</v>
      </c>
      <c r="O36" s="130"/>
      <c r="P36" s="130"/>
      <c r="Q36" s="130"/>
      <c r="R36" s="130"/>
      <c r="S36" s="51"/>
    </row>
    <row r="37" spans="1:19" ht="17" thickBot="1" x14ac:dyDescent="0.25">
      <c r="A37" s="146"/>
      <c r="B37" s="147"/>
      <c r="C37" s="147"/>
      <c r="D37" s="147"/>
      <c r="E37" s="147"/>
      <c r="F37" s="147"/>
      <c r="G37" s="148"/>
      <c r="K37" s="54" t="s">
        <v>25</v>
      </c>
      <c r="L37" s="55">
        <v>17</v>
      </c>
      <c r="M37" s="55">
        <v>59450431.29517778</v>
      </c>
      <c r="N37" s="55"/>
      <c r="O37" s="55"/>
      <c r="P37" s="55"/>
      <c r="Q37" s="130"/>
      <c r="R37" s="130"/>
      <c r="S37" s="51"/>
    </row>
    <row r="38" spans="1:19" ht="16" thickBot="1" x14ac:dyDescent="0.25">
      <c r="A38" s="146"/>
      <c r="B38" s="147"/>
      <c r="C38" s="147"/>
      <c r="D38" s="147"/>
      <c r="E38" s="147"/>
      <c r="F38" s="147"/>
      <c r="G38" s="148"/>
      <c r="K38" s="50"/>
      <c r="L38" s="130"/>
      <c r="M38" s="130"/>
      <c r="N38" s="130"/>
      <c r="O38" s="130"/>
      <c r="P38" s="130"/>
      <c r="Q38" s="130"/>
      <c r="R38" s="130"/>
      <c r="S38" s="51"/>
    </row>
    <row r="39" spans="1:19" ht="32" x14ac:dyDescent="0.2">
      <c r="A39" s="146"/>
      <c r="B39" s="147"/>
      <c r="C39" s="147"/>
      <c r="D39" s="147"/>
      <c r="E39" s="147"/>
      <c r="F39" s="147"/>
      <c r="G39" s="148"/>
      <c r="K39" s="44"/>
      <c r="L39" s="45" t="s">
        <v>32</v>
      </c>
      <c r="M39" s="45" t="s">
        <v>20</v>
      </c>
      <c r="N39" s="45" t="s">
        <v>33</v>
      </c>
      <c r="O39" s="45" t="s">
        <v>34</v>
      </c>
      <c r="P39" s="45" t="s">
        <v>35</v>
      </c>
      <c r="Q39" s="45" t="s">
        <v>36</v>
      </c>
      <c r="R39" s="45" t="s">
        <v>37</v>
      </c>
      <c r="S39" s="46" t="s">
        <v>38</v>
      </c>
    </row>
    <row r="40" spans="1:19" ht="16" x14ac:dyDescent="0.2">
      <c r="A40" s="146"/>
      <c r="B40" s="147"/>
      <c r="C40" s="147"/>
      <c r="D40" s="147"/>
      <c r="E40" s="147"/>
      <c r="F40" s="147"/>
      <c r="G40" s="148"/>
      <c r="K40" s="50" t="s">
        <v>26</v>
      </c>
      <c r="L40" s="130">
        <v>2563.5820552478599</v>
      </c>
      <c r="M40" s="130">
        <v>969.81726938363045</v>
      </c>
      <c r="N40" s="130">
        <v>2.6433660609870868</v>
      </c>
      <c r="O40" s="130">
        <v>1.9277161986851123E-2</v>
      </c>
      <c r="P40" s="130">
        <v>483.53088616105413</v>
      </c>
      <c r="Q40" s="130">
        <v>4643.633224334666</v>
      </c>
      <c r="R40" s="130">
        <v>483.53088616105413</v>
      </c>
      <c r="S40" s="51">
        <v>4643.633224334666</v>
      </c>
    </row>
    <row r="41" spans="1:19" ht="16" x14ac:dyDescent="0.2">
      <c r="A41" s="149"/>
      <c r="B41" s="150"/>
      <c r="C41" s="150"/>
      <c r="D41" s="150"/>
      <c r="E41" s="150"/>
      <c r="F41" s="150"/>
      <c r="G41" s="151"/>
      <c r="K41" s="50" t="s">
        <v>39</v>
      </c>
      <c r="L41" s="130">
        <v>-19.356205676020096</v>
      </c>
      <c r="M41" s="130">
        <v>13.117809146066653</v>
      </c>
      <c r="N41" s="130">
        <v>-1.4755669533295515</v>
      </c>
      <c r="O41" s="134">
        <v>0.1621942513368006</v>
      </c>
      <c r="P41" s="130">
        <v>-47.491108107150275</v>
      </c>
      <c r="Q41" s="130">
        <v>8.778696755110083</v>
      </c>
      <c r="R41" s="130">
        <v>-47.491108107150275</v>
      </c>
      <c r="S41" s="51">
        <v>8.778696755110083</v>
      </c>
    </row>
    <row r="42" spans="1:19" ht="16" x14ac:dyDescent="0.2">
      <c r="K42" s="50" t="s">
        <v>49</v>
      </c>
      <c r="L42" s="130">
        <v>0.37235266088622049</v>
      </c>
      <c r="M42" s="130">
        <v>0.10111892155881166</v>
      </c>
      <c r="N42" s="130">
        <v>3.682324288532457</v>
      </c>
      <c r="O42" s="131">
        <v>2.4620086566788605E-3</v>
      </c>
      <c r="P42" s="130">
        <v>0.15547414403027657</v>
      </c>
      <c r="Q42" s="130">
        <v>0.58923117774216438</v>
      </c>
      <c r="R42" s="130">
        <v>0.15547414403027657</v>
      </c>
      <c r="S42" s="51">
        <v>0.58923117774216438</v>
      </c>
    </row>
    <row r="43" spans="1:19" ht="17" thickBot="1" x14ac:dyDescent="0.25">
      <c r="K43" s="54" t="s">
        <v>50</v>
      </c>
      <c r="L43" s="55">
        <v>-28.835270689580142</v>
      </c>
      <c r="M43" s="55">
        <v>8.9729605591742541</v>
      </c>
      <c r="N43" s="55">
        <v>-3.2135737697072568</v>
      </c>
      <c r="O43" s="133">
        <v>6.2495267774671254E-3</v>
      </c>
      <c r="P43" s="55">
        <v>-48.080357048108581</v>
      </c>
      <c r="Q43" s="55">
        <v>-9.5901843310517041</v>
      </c>
      <c r="R43" s="55">
        <v>-48.080357048108581</v>
      </c>
      <c r="S43" s="56">
        <v>-9.5901843310517041</v>
      </c>
    </row>
    <row r="44" spans="1:19" x14ac:dyDescent="0.2">
      <c r="K44" s="64"/>
      <c r="L44" s="64"/>
      <c r="M44" s="64"/>
      <c r="N44" s="64"/>
      <c r="O44" s="64"/>
      <c r="P44" s="64"/>
      <c r="Q44" s="64"/>
      <c r="R44" s="64"/>
      <c r="S44" s="64"/>
    </row>
    <row r="45" spans="1:19" x14ac:dyDescent="0.2">
      <c r="K45" s="64"/>
      <c r="L45" s="64"/>
      <c r="M45" s="64"/>
      <c r="N45" s="64"/>
      <c r="O45" s="64"/>
      <c r="P45" s="64"/>
      <c r="Q45" s="64"/>
      <c r="R45" s="64"/>
      <c r="S45" s="64"/>
    </row>
    <row r="46" spans="1:19" ht="16" thickBot="1" x14ac:dyDescent="0.25">
      <c r="K46" s="64"/>
      <c r="L46" s="64"/>
      <c r="M46" s="64"/>
      <c r="N46" s="64"/>
      <c r="O46" s="64"/>
      <c r="P46" s="64"/>
      <c r="Q46" s="64"/>
      <c r="R46" s="64"/>
      <c r="S46" s="64"/>
    </row>
    <row r="47" spans="1:19" ht="16" x14ac:dyDescent="0.2">
      <c r="K47" s="47" t="s">
        <v>53</v>
      </c>
      <c r="L47" s="48"/>
      <c r="M47" s="48"/>
      <c r="N47" s="48"/>
      <c r="O47" s="48"/>
      <c r="P47" s="48"/>
      <c r="Q47" s="48"/>
      <c r="R47" s="48"/>
      <c r="S47" s="49"/>
    </row>
    <row r="48" spans="1:19" ht="16" thickBot="1" x14ac:dyDescent="0.25">
      <c r="K48" s="50"/>
      <c r="L48" s="130"/>
      <c r="M48" s="130"/>
      <c r="N48" s="130"/>
      <c r="O48" s="130"/>
      <c r="P48" s="130"/>
      <c r="Q48" s="130"/>
      <c r="R48" s="130"/>
      <c r="S48" s="51"/>
    </row>
    <row r="49" spans="11:19" ht="16" x14ac:dyDescent="0.2">
      <c r="K49" s="44" t="s">
        <v>16</v>
      </c>
      <c r="L49" s="45"/>
      <c r="M49" s="130"/>
      <c r="N49" s="130"/>
      <c r="O49" s="130"/>
      <c r="P49" s="130"/>
      <c r="Q49" s="130"/>
      <c r="R49" s="130"/>
      <c r="S49" s="51"/>
    </row>
    <row r="50" spans="11:19" ht="16" x14ac:dyDescent="0.2">
      <c r="K50" s="50" t="s">
        <v>17</v>
      </c>
      <c r="L50" s="130">
        <v>0.98172237836129572</v>
      </c>
      <c r="M50" s="130"/>
      <c r="N50" s="130"/>
      <c r="O50" s="130"/>
      <c r="P50" s="130"/>
      <c r="Q50" s="130"/>
      <c r="R50" s="130"/>
      <c r="S50" s="51"/>
    </row>
    <row r="51" spans="11:19" ht="16" x14ac:dyDescent="0.2">
      <c r="K51" s="50" t="s">
        <v>18</v>
      </c>
      <c r="L51" s="130">
        <v>0.96377882817535898</v>
      </c>
      <c r="M51" s="130"/>
      <c r="N51" s="130"/>
      <c r="O51" s="130"/>
      <c r="P51" s="130"/>
      <c r="Q51" s="130"/>
      <c r="R51" s="130"/>
      <c r="S51" s="51"/>
    </row>
    <row r="52" spans="11:19" ht="16" x14ac:dyDescent="0.2">
      <c r="K52" s="50" t="s">
        <v>19</v>
      </c>
      <c r="L52" s="130">
        <v>0.95601714849865016</v>
      </c>
      <c r="M52" s="130"/>
      <c r="N52" s="130"/>
      <c r="O52" s="130"/>
      <c r="P52" s="130"/>
      <c r="Q52" s="130"/>
      <c r="R52" s="130"/>
      <c r="S52" s="51"/>
    </row>
    <row r="53" spans="11:19" ht="16" x14ac:dyDescent="0.2">
      <c r="K53" s="50" t="s">
        <v>20</v>
      </c>
      <c r="L53" s="130">
        <v>392.18839195610792</v>
      </c>
      <c r="M53" s="130"/>
      <c r="N53" s="130"/>
      <c r="O53" s="130"/>
      <c r="P53" s="130"/>
      <c r="Q53" s="130"/>
      <c r="R53" s="130"/>
      <c r="S53" s="51"/>
    </row>
    <row r="54" spans="11:19" ht="17" thickBot="1" x14ac:dyDescent="0.25">
      <c r="K54" s="54" t="s">
        <v>21</v>
      </c>
      <c r="L54" s="55">
        <v>18</v>
      </c>
      <c r="M54" s="130"/>
      <c r="N54" s="130"/>
      <c r="O54" s="130"/>
      <c r="P54" s="130"/>
      <c r="Q54" s="130"/>
      <c r="R54" s="130"/>
      <c r="S54" s="51"/>
    </row>
    <row r="55" spans="11:19" x14ac:dyDescent="0.2">
      <c r="K55" s="50"/>
      <c r="L55" s="130"/>
      <c r="M55" s="130"/>
      <c r="N55" s="130"/>
      <c r="O55" s="130"/>
      <c r="P55" s="130"/>
      <c r="Q55" s="130"/>
      <c r="R55" s="130"/>
      <c r="S55" s="51"/>
    </row>
    <row r="56" spans="11:19" ht="17" thickBot="1" x14ac:dyDescent="0.25">
      <c r="K56" s="50" t="s">
        <v>22</v>
      </c>
      <c r="L56" s="130"/>
      <c r="M56" s="130"/>
      <c r="N56" s="130"/>
      <c r="O56" s="130"/>
      <c r="P56" s="130"/>
      <c r="Q56" s="130"/>
      <c r="R56" s="130"/>
      <c r="S56" s="51"/>
    </row>
    <row r="57" spans="11:19" ht="16" x14ac:dyDescent="0.2">
      <c r="K57" s="44"/>
      <c r="L57" s="45" t="s">
        <v>27</v>
      </c>
      <c r="M57" s="45" t="s">
        <v>28</v>
      </c>
      <c r="N57" s="45" t="s">
        <v>29</v>
      </c>
      <c r="O57" s="45" t="s">
        <v>30</v>
      </c>
      <c r="P57" s="45" t="s">
        <v>31</v>
      </c>
      <c r="Q57" s="130"/>
      <c r="R57" s="130"/>
      <c r="S57" s="51"/>
    </row>
    <row r="58" spans="11:19" ht="16" x14ac:dyDescent="0.2">
      <c r="K58" s="50" t="s">
        <v>23</v>
      </c>
      <c r="L58" s="130">
        <v>3</v>
      </c>
      <c r="M58" s="130">
        <v>57297067.008186132</v>
      </c>
      <c r="N58" s="130">
        <v>19099022.336062044</v>
      </c>
      <c r="O58" s="130">
        <v>124.17142529953441</v>
      </c>
      <c r="P58" s="131">
        <v>2.5290742018984099E-10</v>
      </c>
      <c r="Q58" s="130"/>
      <c r="R58" s="130"/>
      <c r="S58" s="51"/>
    </row>
    <row r="59" spans="11:19" ht="16" x14ac:dyDescent="0.2">
      <c r="K59" s="50" t="s">
        <v>24</v>
      </c>
      <c r="L59" s="130">
        <v>14</v>
      </c>
      <c r="M59" s="130">
        <v>2153364.2869916484</v>
      </c>
      <c r="N59" s="130">
        <v>153811.73478511773</v>
      </c>
      <c r="O59" s="130"/>
      <c r="P59" s="130"/>
      <c r="Q59" s="130"/>
      <c r="R59" s="130"/>
      <c r="S59" s="51"/>
    </row>
    <row r="60" spans="11:19" ht="17" thickBot="1" x14ac:dyDescent="0.25">
      <c r="K60" s="54" t="s">
        <v>25</v>
      </c>
      <c r="L60" s="55">
        <v>17</v>
      </c>
      <c r="M60" s="55">
        <v>59450431.29517778</v>
      </c>
      <c r="N60" s="55"/>
      <c r="O60" s="55"/>
      <c r="P60" s="55"/>
      <c r="Q60" s="130"/>
      <c r="R60" s="130"/>
      <c r="S60" s="51"/>
    </row>
    <row r="61" spans="11:19" ht="16" thickBot="1" x14ac:dyDescent="0.25">
      <c r="K61" s="50"/>
      <c r="L61" s="130"/>
      <c r="M61" s="130"/>
      <c r="N61" s="130"/>
      <c r="O61" s="130"/>
      <c r="P61" s="130"/>
      <c r="Q61" s="130"/>
      <c r="R61" s="130"/>
      <c r="S61" s="51"/>
    </row>
    <row r="62" spans="11:19" ht="32" x14ac:dyDescent="0.2">
      <c r="K62" s="44"/>
      <c r="L62" s="45" t="s">
        <v>32</v>
      </c>
      <c r="M62" s="45" t="s">
        <v>20</v>
      </c>
      <c r="N62" s="45" t="s">
        <v>33</v>
      </c>
      <c r="O62" s="45" t="s">
        <v>34</v>
      </c>
      <c r="P62" s="45" t="s">
        <v>35</v>
      </c>
      <c r="Q62" s="45" t="s">
        <v>36</v>
      </c>
      <c r="R62" s="45" t="s">
        <v>37</v>
      </c>
      <c r="S62" s="46" t="s">
        <v>38</v>
      </c>
    </row>
    <row r="63" spans="11:19" ht="16" x14ac:dyDescent="0.2">
      <c r="K63" s="50" t="s">
        <v>26</v>
      </c>
      <c r="L63" s="130">
        <v>592.6870084896218</v>
      </c>
      <c r="M63" s="130">
        <v>362.66244610553269</v>
      </c>
      <c r="N63" s="130">
        <v>1.6342662849551102</v>
      </c>
      <c r="O63" s="130">
        <v>0.12448080484994137</v>
      </c>
      <c r="P63" s="130">
        <v>-185.14657812523288</v>
      </c>
      <c r="Q63" s="130">
        <v>1370.5205951044766</v>
      </c>
      <c r="R63" s="130">
        <v>-185.14657812523288</v>
      </c>
      <c r="S63" s="51">
        <v>1370.5205951044766</v>
      </c>
    </row>
    <row r="64" spans="11:19" ht="16" x14ac:dyDescent="0.2">
      <c r="K64" s="50" t="s">
        <v>39</v>
      </c>
      <c r="L64" s="130">
        <v>2.4230025201110093</v>
      </c>
      <c r="M64" s="130">
        <v>0.63784007664745279</v>
      </c>
      <c r="N64" s="130">
        <v>3.7987618038153661</v>
      </c>
      <c r="O64" s="131">
        <v>1.9555843266153305E-3</v>
      </c>
      <c r="P64" s="130">
        <v>1.0549716146970805</v>
      </c>
      <c r="Q64" s="130">
        <v>3.791033425524938</v>
      </c>
      <c r="R64" s="130">
        <v>1.0549716146970805</v>
      </c>
      <c r="S64" s="51">
        <v>3.791033425524938</v>
      </c>
    </row>
    <row r="65" spans="11:19" ht="16" x14ac:dyDescent="0.2">
      <c r="K65" s="50" t="s">
        <v>49</v>
      </c>
      <c r="L65" s="130">
        <v>2.4645682018550743</v>
      </c>
      <c r="M65" s="130">
        <v>0.51941467200277425</v>
      </c>
      <c r="N65" s="130">
        <v>4.7448952343839661</v>
      </c>
      <c r="O65" s="131">
        <v>3.1345324673506521E-4</v>
      </c>
      <c r="P65" s="130">
        <v>1.3505345278343315</v>
      </c>
      <c r="Q65" s="130">
        <v>3.5786018758758171</v>
      </c>
      <c r="R65" s="130">
        <v>1.3505345278343315</v>
      </c>
      <c r="S65" s="51">
        <v>3.5786018758758171</v>
      </c>
    </row>
    <row r="66" spans="11:19" ht="17" thickBot="1" x14ac:dyDescent="0.25">
      <c r="K66" s="54" t="s">
        <v>50</v>
      </c>
      <c r="L66" s="55">
        <v>-191.48243937701423</v>
      </c>
      <c r="M66" s="55">
        <v>45.469276012983848</v>
      </c>
      <c r="N66" s="55">
        <v>-4.2112489172322869</v>
      </c>
      <c r="O66" s="133">
        <v>8.7128378462855564E-4</v>
      </c>
      <c r="P66" s="55">
        <v>-289.00433727892232</v>
      </c>
      <c r="Q66" s="55">
        <v>-93.96054147510614</v>
      </c>
      <c r="R66" s="55">
        <v>-289.00433727892232</v>
      </c>
      <c r="S66" s="56">
        <v>-93.96054147510614</v>
      </c>
    </row>
  </sheetData>
  <mergeCells count="2">
    <mergeCell ref="A34:G41"/>
    <mergeCell ref="A33:G3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AE49D-AA15-4847-B890-BAEDBD696F4C}">
  <dimension ref="A1:AN93"/>
  <sheetViews>
    <sheetView topLeftCell="W25" zoomScale="82" zoomScaleNormal="60" workbookViewId="0">
      <selection activeCell="AF54" sqref="AF54"/>
    </sheetView>
  </sheetViews>
  <sheetFormatPr baseColWidth="10" defaultRowHeight="15" x14ac:dyDescent="0.2"/>
  <cols>
    <col min="1" max="1" width="28.83203125" customWidth="1"/>
    <col min="2" max="2" width="18.5" bestFit="1" customWidth="1"/>
    <col min="3" max="3" width="21.33203125" bestFit="1" customWidth="1"/>
    <col min="4" max="4" width="23" bestFit="1" customWidth="1"/>
    <col min="5" max="5" width="17.83203125" customWidth="1"/>
    <col min="6" max="9" width="14.33203125" bestFit="1" customWidth="1"/>
    <col min="11" max="11" width="45.33203125" bestFit="1" customWidth="1"/>
    <col min="12" max="12" width="12" bestFit="1" customWidth="1"/>
    <col min="13" max="13" width="13.6640625" bestFit="1" customWidth="1"/>
    <col min="14" max="14" width="15.1640625" bestFit="1" customWidth="1"/>
    <col min="16" max="16" width="22.1640625" customWidth="1"/>
    <col min="17" max="17" width="21.1640625" bestFit="1" customWidth="1"/>
    <col min="18" max="18" width="14.33203125" bestFit="1" customWidth="1"/>
    <col min="19" max="19" width="14.5" bestFit="1" customWidth="1"/>
    <col min="20" max="21" width="13.6640625" bestFit="1" customWidth="1"/>
    <col min="22" max="22" width="5.83203125" bestFit="1" customWidth="1"/>
    <col min="23" max="23" width="10.33203125" bestFit="1" customWidth="1"/>
    <col min="25" max="25" width="67.1640625" bestFit="1" customWidth="1"/>
    <col min="30" max="30" width="19.6640625" customWidth="1"/>
    <col min="31" max="31" width="20.1640625" customWidth="1"/>
    <col min="32" max="32" width="14.83203125" customWidth="1"/>
    <col min="33" max="34" width="14.33203125" bestFit="1" customWidth="1"/>
    <col min="36" max="36" width="64.83203125" bestFit="1" customWidth="1"/>
  </cols>
  <sheetData>
    <row r="1" spans="1:11" ht="90" x14ac:dyDescent="0.2">
      <c r="A1" s="2" t="s">
        <v>0</v>
      </c>
      <c r="B1" s="2" t="s">
        <v>96</v>
      </c>
      <c r="C1" s="2" t="s">
        <v>43</v>
      </c>
      <c r="D1" s="2" t="s">
        <v>97</v>
      </c>
      <c r="E1" s="2" t="s">
        <v>40</v>
      </c>
      <c r="I1" s="2" t="s">
        <v>94</v>
      </c>
      <c r="J1" s="158" t="s">
        <v>95</v>
      </c>
      <c r="K1" s="158"/>
    </row>
    <row r="2" spans="1:11" x14ac:dyDescent="0.2">
      <c r="A2" s="3">
        <v>2006</v>
      </c>
      <c r="B2" s="4">
        <v>100</v>
      </c>
      <c r="C2" s="4">
        <v>3.25</v>
      </c>
      <c r="D2" s="4">
        <f>'Корреляционный анализ'!C2*'Корреляционный анализ'!D2</f>
        <v>57.102499999999999</v>
      </c>
      <c r="E2" s="4">
        <v>29.3</v>
      </c>
    </row>
    <row r="3" spans="1:11" x14ac:dyDescent="0.2">
      <c r="A3" s="3">
        <v>2007</v>
      </c>
      <c r="B3" s="4">
        <v>135.4</v>
      </c>
      <c r="C3" s="4">
        <v>5</v>
      </c>
      <c r="D3" s="4">
        <f>'Корреляционный анализ'!C3*'Корреляционный анализ'!D3</f>
        <v>123</v>
      </c>
      <c r="E3" s="4">
        <v>95.35</v>
      </c>
    </row>
    <row r="4" spans="1:11" x14ac:dyDescent="0.2">
      <c r="A4" s="3">
        <v>2008</v>
      </c>
      <c r="B4" s="4">
        <v>150</v>
      </c>
      <c r="C4" s="4">
        <v>9</v>
      </c>
      <c r="D4" s="4">
        <f>'Корреляционный анализ'!C4*'Корреляционный анализ'!D4</f>
        <v>252.9</v>
      </c>
      <c r="E4" s="4">
        <v>128.31</v>
      </c>
    </row>
    <row r="5" spans="1:11" x14ac:dyDescent="0.2">
      <c r="A5" s="3">
        <v>2009</v>
      </c>
      <c r="B5" s="4">
        <v>158.34</v>
      </c>
      <c r="C5" s="4">
        <v>9.3000000000000007</v>
      </c>
      <c r="D5" s="4">
        <f>'Корреляционный анализ'!C5*'Корреляционный анализ'!D5</f>
        <v>275.28000000000003</v>
      </c>
      <c r="E5" s="4">
        <v>150</v>
      </c>
    </row>
    <row r="6" spans="1:11" x14ac:dyDescent="0.2">
      <c r="A6" s="3">
        <v>2010</v>
      </c>
      <c r="B6" s="4">
        <v>170.255</v>
      </c>
      <c r="C6" s="4">
        <v>11</v>
      </c>
      <c r="D6" s="4">
        <f>'Корреляционный анализ'!C6*'Корреляционный анализ'!D6</f>
        <v>438.9</v>
      </c>
      <c r="E6" s="4">
        <v>260</v>
      </c>
    </row>
    <row r="7" spans="1:11" x14ac:dyDescent="0.2">
      <c r="A7" s="3">
        <v>2011</v>
      </c>
      <c r="B7" s="4">
        <v>248.64</v>
      </c>
      <c r="C7" s="4">
        <v>18.7</v>
      </c>
      <c r="D7" s="4">
        <f>'Корреляционный анализ'!C7*'Корреляционный анализ'!D7</f>
        <v>1084.5999999999999</v>
      </c>
      <c r="E7" s="4">
        <v>330</v>
      </c>
    </row>
    <row r="8" spans="1:11" x14ac:dyDescent="0.2">
      <c r="A8" s="3">
        <f>A7+1</f>
        <v>2012</v>
      </c>
      <c r="B8" s="4">
        <v>293.66000000000003</v>
      </c>
      <c r="C8" s="4">
        <v>23.3</v>
      </c>
      <c r="D8" s="4">
        <f>'Корреляционный анализ'!C8*'Корреляционный анализ'!D8</f>
        <v>1537.8</v>
      </c>
      <c r="E8" s="4">
        <v>405</v>
      </c>
    </row>
    <row r="9" spans="1:11" x14ac:dyDescent="0.2">
      <c r="A9" s="3">
        <f t="shared" ref="A9:A19" si="0">A8+1</f>
        <v>2013</v>
      </c>
      <c r="B9" s="4">
        <v>283.42</v>
      </c>
      <c r="C9" s="4">
        <v>27</v>
      </c>
      <c r="D9" s="4">
        <f>'Корреляционный анализ'!C9*'Корреляционный анализ'!D9</f>
        <v>1836</v>
      </c>
      <c r="E9" s="4">
        <v>544</v>
      </c>
    </row>
    <row r="10" spans="1:11" x14ac:dyDescent="0.2">
      <c r="A10" s="3">
        <f t="shared" si="0"/>
        <v>2014</v>
      </c>
      <c r="B10" s="4">
        <v>292.14999999999998</v>
      </c>
      <c r="C10" s="4">
        <v>33.1</v>
      </c>
      <c r="D10" s="4">
        <f>'Корреляционный анализ'!C10*'Корреляционный анализ'!D10</f>
        <v>2350.1</v>
      </c>
      <c r="E10" s="4">
        <v>713</v>
      </c>
    </row>
    <row r="11" spans="1:11" x14ac:dyDescent="0.2">
      <c r="A11" s="3">
        <f t="shared" si="0"/>
        <v>2015</v>
      </c>
      <c r="B11" s="4">
        <v>304.98</v>
      </c>
      <c r="C11" s="4">
        <v>39.700000000000003</v>
      </c>
      <c r="D11" s="4">
        <f>'Корреляционный анализ'!C11*'Корреляционный анализ'!D11</f>
        <v>2782.97</v>
      </c>
      <c r="E11" s="4">
        <v>760</v>
      </c>
    </row>
    <row r="12" spans="1:11" x14ac:dyDescent="0.2">
      <c r="A12" s="3">
        <f t="shared" si="0"/>
        <v>2016</v>
      </c>
      <c r="B12" s="4">
        <v>284.67</v>
      </c>
      <c r="C12" s="4">
        <v>47.1</v>
      </c>
      <c r="D12" s="4">
        <f>'Корреляционный анализ'!C12*'Корреляционный анализ'!D12</f>
        <v>3442.5390000000002</v>
      </c>
      <c r="E12" s="4">
        <v>920</v>
      </c>
    </row>
    <row r="13" spans="1:11" x14ac:dyDescent="0.2">
      <c r="A13" s="3">
        <f t="shared" si="0"/>
        <v>2017</v>
      </c>
      <c r="B13" s="4">
        <v>389.6</v>
      </c>
      <c r="C13" s="4">
        <v>57.7</v>
      </c>
      <c r="D13" s="4">
        <f>'Корреляционный анализ'!C13*'Корреляционный анализ'!D13</f>
        <v>4385.777000000001</v>
      </c>
      <c r="E13" s="4">
        <v>1040</v>
      </c>
    </row>
    <row r="14" spans="1:11" x14ac:dyDescent="0.2">
      <c r="A14" s="3">
        <f t="shared" si="0"/>
        <v>2018</v>
      </c>
      <c r="B14" s="4">
        <v>484</v>
      </c>
      <c r="C14" s="4">
        <v>64.5</v>
      </c>
      <c r="D14" s="4">
        <f>'Корреляционный анализ'!C14*'Корреляционный анализ'!D14</f>
        <v>5215.47</v>
      </c>
      <c r="E14" s="4">
        <v>1657</v>
      </c>
    </row>
    <row r="15" spans="1:11" x14ac:dyDescent="0.2">
      <c r="A15" s="3">
        <f t="shared" si="0"/>
        <v>2019</v>
      </c>
      <c r="B15" s="4">
        <v>61.77</v>
      </c>
      <c r="C15" s="4">
        <v>64.7</v>
      </c>
      <c r="D15" s="4">
        <f>'Корреляционный анализ'!C15*'Корреляционный анализ'!D15</f>
        <v>5346.808</v>
      </c>
      <c r="E15" s="4">
        <v>2032</v>
      </c>
    </row>
    <row r="16" spans="1:11" x14ac:dyDescent="0.2">
      <c r="A16" s="3">
        <f t="shared" si="0"/>
        <v>2020</v>
      </c>
      <c r="B16" s="4">
        <v>728.51</v>
      </c>
      <c r="C16" s="4">
        <v>70.3</v>
      </c>
      <c r="D16" s="4">
        <f>'Корреляционный анализ'!C16*'Корреляционный анализ'!D16</f>
        <v>5974.7969999999996</v>
      </c>
      <c r="E16" s="4">
        <v>3221</v>
      </c>
    </row>
    <row r="17" spans="1:40" x14ac:dyDescent="0.2">
      <c r="A17" s="3">
        <f t="shared" si="0"/>
        <v>2021</v>
      </c>
      <c r="B17" s="4">
        <v>756.22</v>
      </c>
      <c r="C17" s="4">
        <v>74</v>
      </c>
      <c r="D17" s="4">
        <f>'Корреляционный анализ'!C17*'Корреляционный анализ'!D17</f>
        <v>6586</v>
      </c>
      <c r="E17" s="4">
        <v>3921</v>
      </c>
    </row>
    <row r="18" spans="1:40" x14ac:dyDescent="0.2">
      <c r="A18" s="3">
        <f t="shared" si="0"/>
        <v>2022</v>
      </c>
      <c r="B18" s="4">
        <v>822.2</v>
      </c>
      <c r="C18" s="4">
        <v>77.7</v>
      </c>
      <c r="D18" s="4">
        <f>'Корреляционный анализ'!C18*'Корреляционный анализ'!D18</f>
        <v>6853.14</v>
      </c>
      <c r="E18" s="4">
        <v>4986</v>
      </c>
    </row>
    <row r="19" spans="1:40" x14ac:dyDescent="0.2">
      <c r="A19" s="3">
        <f t="shared" si="0"/>
        <v>2023</v>
      </c>
      <c r="B19" s="4">
        <v>1161.5999999999999</v>
      </c>
      <c r="C19" s="4">
        <v>83.4</v>
      </c>
      <c r="D19" s="4">
        <f>'Корреляционный анализ'!C19*'Корреляционный анализ'!D19</f>
        <v>7439.2800000000007</v>
      </c>
      <c r="E19" s="4">
        <v>6359</v>
      </c>
    </row>
    <row r="21" spans="1:40" x14ac:dyDescent="0.2">
      <c r="A21" s="42" t="s">
        <v>105</v>
      </c>
    </row>
    <row r="23" spans="1:40" ht="16" thickBot="1" x14ac:dyDescent="0.25">
      <c r="A23" s="42" t="s">
        <v>88</v>
      </c>
      <c r="K23" s="42" t="s">
        <v>89</v>
      </c>
      <c r="P23" s="42" t="s">
        <v>90</v>
      </c>
      <c r="AE23" s="42" t="s">
        <v>91</v>
      </c>
      <c r="AJ23" s="66" t="s">
        <v>92</v>
      </c>
    </row>
    <row r="24" spans="1:40" ht="68" x14ac:dyDescent="0.2">
      <c r="A24" s="25" t="s">
        <v>53</v>
      </c>
      <c r="B24" s="26"/>
      <c r="C24" s="26"/>
      <c r="D24" s="26"/>
      <c r="E24" s="26"/>
      <c r="F24" s="26"/>
      <c r="G24" s="26"/>
      <c r="H24" s="26"/>
      <c r="I24" s="27"/>
      <c r="K24" s="159" t="s">
        <v>59</v>
      </c>
      <c r="L24" s="159"/>
      <c r="M24">
        <f>AVERAGE(C50:C67)</f>
        <v>-1.6042475989605817E-12</v>
      </c>
      <c r="N24" s="65" t="s">
        <v>60</v>
      </c>
      <c r="P24" s="47" t="s">
        <v>54</v>
      </c>
      <c r="Q24" s="48"/>
      <c r="R24" s="48"/>
      <c r="S24" s="48"/>
      <c r="T24" s="26"/>
      <c r="U24" s="26"/>
      <c r="V24" s="26"/>
      <c r="W24" s="27"/>
      <c r="AE24" s="57" t="s">
        <v>55</v>
      </c>
      <c r="AF24" s="58" t="s">
        <v>58</v>
      </c>
      <c r="AG24" s="58" t="s">
        <v>56</v>
      </c>
      <c r="AH24" s="59" t="s">
        <v>79</v>
      </c>
    </row>
    <row r="25" spans="1:40" ht="52" thickBot="1" x14ac:dyDescent="0.25">
      <c r="A25" s="28"/>
      <c r="B25" s="29"/>
      <c r="C25" s="29"/>
      <c r="D25" s="29"/>
      <c r="E25" s="29"/>
      <c r="F25" s="29"/>
      <c r="G25" s="29"/>
      <c r="H25" s="29"/>
      <c r="I25" s="30"/>
      <c r="K25" s="159" t="s">
        <v>61</v>
      </c>
      <c r="L25" s="159"/>
      <c r="M25">
        <f>STDEV(C50:C67)</f>
        <v>355.90516639983923</v>
      </c>
      <c r="N25" s="65" t="s">
        <v>62</v>
      </c>
      <c r="P25" s="54"/>
      <c r="Q25" s="55"/>
      <c r="R25" s="55"/>
      <c r="S25" s="55"/>
      <c r="T25" s="33"/>
      <c r="U25" s="33"/>
      <c r="V25" s="33"/>
      <c r="W25" s="30"/>
      <c r="AE25" s="28">
        <v>1</v>
      </c>
      <c r="AF25" s="29">
        <v>353.40233827185591</v>
      </c>
      <c r="AG25" s="29">
        <v>-324.1023382718559</v>
      </c>
      <c r="AH25" s="30"/>
    </row>
    <row r="26" spans="1:40" ht="51" x14ac:dyDescent="0.2">
      <c r="A26" s="31" t="s">
        <v>16</v>
      </c>
      <c r="B26" s="32"/>
      <c r="C26" s="29"/>
      <c r="D26" s="29"/>
      <c r="E26" s="29"/>
      <c r="F26" s="29"/>
      <c r="G26" s="29"/>
      <c r="H26" s="29"/>
      <c r="I26" s="30"/>
      <c r="K26" s="160" t="s">
        <v>63</v>
      </c>
      <c r="L26" s="160"/>
      <c r="M26">
        <f>M24*SQRT(18)/M25</f>
        <v>-1.9123763232807793E-14</v>
      </c>
      <c r="N26" s="65" t="s">
        <v>64</v>
      </c>
      <c r="P26" s="57" t="s">
        <v>55</v>
      </c>
      <c r="Q26" s="58" t="s">
        <v>58</v>
      </c>
      <c r="R26" s="58" t="s">
        <v>56</v>
      </c>
      <c r="S26" s="58" t="s">
        <v>57</v>
      </c>
      <c r="T26" s="58" t="s">
        <v>68</v>
      </c>
      <c r="U26" s="58" t="s">
        <v>69</v>
      </c>
      <c r="V26" s="76" t="s">
        <v>70</v>
      </c>
      <c r="W26" s="59" t="s">
        <v>97</v>
      </c>
      <c r="AE26" s="28">
        <v>2</v>
      </c>
      <c r="AF26" s="29">
        <v>266.49124165575546</v>
      </c>
      <c r="AG26" s="29">
        <v>-171.14124165575546</v>
      </c>
      <c r="AH26" s="30">
        <v>-324.1023382718559</v>
      </c>
    </row>
    <row r="27" spans="1:40" ht="17" x14ac:dyDescent="0.2">
      <c r="A27" s="28" t="s">
        <v>17</v>
      </c>
      <c r="B27" s="29">
        <v>0.98172237836129572</v>
      </c>
      <c r="C27" s="29"/>
      <c r="D27" s="29"/>
      <c r="E27" s="29"/>
      <c r="F27" s="29"/>
      <c r="G27" s="29"/>
      <c r="H27" s="29"/>
      <c r="I27" s="30"/>
      <c r="K27" s="70" t="s">
        <v>65</v>
      </c>
      <c r="L27" s="70"/>
      <c r="M27">
        <f>_xlfn.NORM.S.INV(1-0.05/2)</f>
        <v>1.9599639845400536</v>
      </c>
      <c r="N27" s="65" t="s">
        <v>66</v>
      </c>
      <c r="P27" s="28">
        <v>1</v>
      </c>
      <c r="Q27" s="29">
        <v>353.40233827185591</v>
      </c>
      <c r="R27" s="29">
        <v>-324.1023382718559</v>
      </c>
      <c r="S27" s="29">
        <v>-0.91064240946630526</v>
      </c>
      <c r="T27" s="29">
        <f>R27*R27</f>
        <v>105042.3256732845</v>
      </c>
      <c r="U27" s="29">
        <v>100</v>
      </c>
      <c r="V27" s="29">
        <v>3.25</v>
      </c>
      <c r="W27" s="30">
        <v>57.102499999999999</v>
      </c>
      <c r="AE27" s="28">
        <v>3</v>
      </c>
      <c r="AF27" s="29">
        <v>-143.91526963770656</v>
      </c>
      <c r="AG27" s="29">
        <v>272.22526963770656</v>
      </c>
      <c r="AH27" s="30">
        <v>-171.14124165575546</v>
      </c>
    </row>
    <row r="28" spans="1:40" x14ac:dyDescent="0.2">
      <c r="A28" s="28" t="s">
        <v>18</v>
      </c>
      <c r="B28" s="29">
        <v>0.96377882817535898</v>
      </c>
      <c r="C28" s="29"/>
      <c r="D28" s="29"/>
      <c r="E28" s="29"/>
      <c r="F28" s="29"/>
      <c r="G28" s="29"/>
      <c r="H28" s="29"/>
      <c r="I28" s="30"/>
      <c r="P28" s="28">
        <v>2</v>
      </c>
      <c r="Q28" s="29">
        <v>266.49124165575546</v>
      </c>
      <c r="R28" s="29">
        <v>-171.14124165575546</v>
      </c>
      <c r="S28" s="29">
        <v>-0.48086192000789335</v>
      </c>
      <c r="T28" s="29">
        <f t="shared" ref="T28:T44" si="1">R28*R28</f>
        <v>29289.324595473689</v>
      </c>
      <c r="U28" s="29">
        <v>135.4</v>
      </c>
      <c r="V28" s="29">
        <v>5</v>
      </c>
      <c r="W28" s="30">
        <v>123</v>
      </c>
      <c r="AE28" s="28">
        <v>4</v>
      </c>
      <c r="AF28" s="29">
        <v>-125.99512407556854</v>
      </c>
      <c r="AG28" s="29">
        <v>275.99512407556853</v>
      </c>
      <c r="AH28" s="30">
        <v>272.22526963770656</v>
      </c>
    </row>
    <row r="29" spans="1:40" x14ac:dyDescent="0.2">
      <c r="A29" s="28" t="s">
        <v>19</v>
      </c>
      <c r="B29" s="29">
        <v>0.95601714849865016</v>
      </c>
      <c r="C29" s="29"/>
      <c r="D29" s="29"/>
      <c r="E29" s="29"/>
      <c r="F29" s="29"/>
      <c r="G29" s="29"/>
      <c r="H29" s="29"/>
      <c r="I29" s="30"/>
      <c r="L29" s="43" t="s">
        <v>67</v>
      </c>
      <c r="M29" s="43" t="b">
        <f>IF(M26&lt;M27, TRUE, FALSE)</f>
        <v>1</v>
      </c>
      <c r="P29" s="28">
        <v>3</v>
      </c>
      <c r="Q29" s="29">
        <v>-143.91526963770656</v>
      </c>
      <c r="R29" s="29">
        <v>272.22526963770656</v>
      </c>
      <c r="S29" s="29">
        <v>0.76488147781444937</v>
      </c>
      <c r="T29" s="29">
        <f t="shared" si="1"/>
        <v>74106.597429322035</v>
      </c>
      <c r="U29" s="29">
        <v>150</v>
      </c>
      <c r="V29" s="29">
        <v>9</v>
      </c>
      <c r="W29" s="30">
        <v>252.9</v>
      </c>
      <c r="AE29" s="28">
        <v>5</v>
      </c>
      <c r="AF29" s="29">
        <v>-19.392546801842716</v>
      </c>
      <c r="AG29" s="29">
        <v>279.39254680184274</v>
      </c>
      <c r="AH29" s="30">
        <v>275.99512407556853</v>
      </c>
    </row>
    <row r="30" spans="1:40" x14ac:dyDescent="0.2">
      <c r="A30" s="28" t="s">
        <v>20</v>
      </c>
      <c r="B30" s="29">
        <v>392.18839195610792</v>
      </c>
      <c r="C30" s="29"/>
      <c r="D30" s="29"/>
      <c r="E30" s="29"/>
      <c r="F30" s="29"/>
      <c r="G30" s="29"/>
      <c r="H30" s="29"/>
      <c r="I30" s="30"/>
      <c r="P30" s="28">
        <v>4</v>
      </c>
      <c r="Q30" s="29">
        <v>-125.99512407556854</v>
      </c>
      <c r="R30" s="29">
        <v>275.99512407556853</v>
      </c>
      <c r="S30" s="29">
        <v>0.7754737782185035</v>
      </c>
      <c r="T30" s="29">
        <f t="shared" si="1"/>
        <v>76173.30851348846</v>
      </c>
      <c r="U30" s="29">
        <v>158.34</v>
      </c>
      <c r="V30" s="29">
        <v>9.3000000000000007</v>
      </c>
      <c r="W30" s="30">
        <v>275.28000000000003</v>
      </c>
      <c r="AE30" s="28">
        <v>6</v>
      </c>
      <c r="AF30" s="29">
        <v>287.49141047187027</v>
      </c>
      <c r="AG30" s="29">
        <v>42.508589528129733</v>
      </c>
      <c r="AH30" s="30">
        <v>279.39254680184274</v>
      </c>
    </row>
    <row r="31" spans="1:40" ht="17" thickBot="1" x14ac:dyDescent="0.25">
      <c r="A31" s="75" t="s">
        <v>21</v>
      </c>
      <c r="B31" s="33">
        <v>18</v>
      </c>
      <c r="C31" s="29"/>
      <c r="D31" s="29"/>
      <c r="E31" s="29"/>
      <c r="F31" s="29"/>
      <c r="G31" s="29"/>
      <c r="H31" s="29"/>
      <c r="I31" s="30"/>
      <c r="P31" s="28">
        <v>5</v>
      </c>
      <c r="Q31" s="29">
        <v>-19.392546801842716</v>
      </c>
      <c r="R31" s="29">
        <v>279.39254680184274</v>
      </c>
      <c r="S31" s="29">
        <v>0.78501964337309194</v>
      </c>
      <c r="T31" s="29">
        <f t="shared" si="1"/>
        <v>78060.195208419886</v>
      </c>
      <c r="U31" s="29">
        <v>170.255</v>
      </c>
      <c r="V31" s="29">
        <v>11</v>
      </c>
      <c r="W31" s="30">
        <v>438.9</v>
      </c>
      <c r="AE31" s="28">
        <v>7</v>
      </c>
      <c r="AF31" s="29">
        <v>632.69807187372237</v>
      </c>
      <c r="AG31" s="29">
        <v>-227.69807187372237</v>
      </c>
      <c r="AH31" s="30">
        <v>42.508589528129733</v>
      </c>
      <c r="AJ31" s="155" t="s">
        <v>84</v>
      </c>
      <c r="AK31" s="155"/>
      <c r="AL31" s="155"/>
      <c r="AM31" s="155"/>
      <c r="AN31" s="155"/>
    </row>
    <row r="32" spans="1:40" x14ac:dyDescent="0.2">
      <c r="A32" s="28"/>
      <c r="B32" s="29"/>
      <c r="C32" s="29"/>
      <c r="D32" s="29"/>
      <c r="E32" s="29"/>
      <c r="F32" s="29"/>
      <c r="G32" s="29"/>
      <c r="H32" s="29"/>
      <c r="I32" s="30"/>
      <c r="P32" s="28">
        <v>6</v>
      </c>
      <c r="Q32" s="29">
        <v>287.49141047187027</v>
      </c>
      <c r="R32" s="29">
        <v>42.508589528129733</v>
      </c>
      <c r="S32" s="29">
        <v>0.11943796702398456</v>
      </c>
      <c r="T32" s="29">
        <f t="shared" si="1"/>
        <v>1806.9801836710208</v>
      </c>
      <c r="U32" s="29">
        <v>248.64</v>
      </c>
      <c r="V32" s="29">
        <v>18.7</v>
      </c>
      <c r="W32" s="30">
        <v>1084.5999999999999</v>
      </c>
      <c r="AE32" s="28">
        <v>8</v>
      </c>
      <c r="AF32" s="29">
        <v>634.33573816601654</v>
      </c>
      <c r="AG32" s="29">
        <v>-90.33573816601654</v>
      </c>
      <c r="AH32" s="30">
        <v>-227.69807187372237</v>
      </c>
    </row>
    <row r="33" spans="1:35" ht="16" thickBot="1" x14ac:dyDescent="0.25">
      <c r="A33" s="28" t="s">
        <v>22</v>
      </c>
      <c r="B33" s="29"/>
      <c r="C33" s="29"/>
      <c r="D33" s="29"/>
      <c r="E33" s="29"/>
      <c r="F33" s="29"/>
      <c r="G33" s="29"/>
      <c r="H33" s="29"/>
      <c r="I33" s="30"/>
      <c r="P33" s="28">
        <v>7</v>
      </c>
      <c r="Q33" s="29">
        <v>632.69807187372237</v>
      </c>
      <c r="R33" s="29">
        <v>-227.69807187372237</v>
      </c>
      <c r="S33" s="29">
        <v>-0.63977175205688508</v>
      </c>
      <c r="T33" s="29">
        <f t="shared" si="1"/>
        <v>51846.411935010838</v>
      </c>
      <c r="U33" s="29">
        <v>293.66000000000003</v>
      </c>
      <c r="V33" s="29">
        <v>23.3</v>
      </c>
      <c r="W33" s="30">
        <v>1537.8</v>
      </c>
      <c r="AE33" s="28">
        <v>9</v>
      </c>
      <c r="AF33" s="29">
        <v>754.48018254049146</v>
      </c>
      <c r="AG33" s="29">
        <v>-41.480182540491455</v>
      </c>
      <c r="AH33" s="30">
        <v>-90.33573816601654</v>
      </c>
    </row>
    <row r="34" spans="1:35" x14ac:dyDescent="0.2">
      <c r="A34" s="34"/>
      <c r="B34" s="35" t="s">
        <v>27</v>
      </c>
      <c r="C34" s="35" t="s">
        <v>28</v>
      </c>
      <c r="D34" s="35" t="s">
        <v>29</v>
      </c>
      <c r="E34" s="35" t="s">
        <v>30</v>
      </c>
      <c r="F34" s="35" t="s">
        <v>31</v>
      </c>
      <c r="G34" s="29"/>
      <c r="H34" s="29"/>
      <c r="I34" s="30"/>
      <c r="P34" s="28">
        <v>8</v>
      </c>
      <c r="Q34" s="29">
        <v>634.33573816601654</v>
      </c>
      <c r="R34" s="29">
        <v>-90.33573816601654</v>
      </c>
      <c r="S34" s="29">
        <v>-0.25381968764266116</v>
      </c>
      <c r="T34" s="29">
        <f t="shared" si="1"/>
        <v>8160.5455899990975</v>
      </c>
      <c r="U34" s="29">
        <v>283.42</v>
      </c>
      <c r="V34" s="29">
        <v>27</v>
      </c>
      <c r="W34" s="30">
        <v>1836</v>
      </c>
      <c r="AE34" s="28">
        <v>10</v>
      </c>
      <c r="AF34" s="29">
        <v>588.62084252222735</v>
      </c>
      <c r="AG34" s="29">
        <v>171.37915747777265</v>
      </c>
      <c r="AH34" s="30">
        <v>-41.480182540491455</v>
      </c>
    </row>
    <row r="35" spans="1:35" x14ac:dyDescent="0.2">
      <c r="A35" s="28" t="s">
        <v>23</v>
      </c>
      <c r="B35" s="29">
        <v>3</v>
      </c>
      <c r="C35" s="29">
        <v>57297067.008186132</v>
      </c>
      <c r="D35" s="29">
        <v>19099022.336062044</v>
      </c>
      <c r="E35" s="29">
        <v>124.17142529953441</v>
      </c>
      <c r="F35" s="29">
        <v>2.5290742018984099E-10</v>
      </c>
      <c r="G35" s="29"/>
      <c r="H35" s="29"/>
      <c r="I35" s="30"/>
      <c r="P35" s="28">
        <v>9</v>
      </c>
      <c r="Q35" s="29">
        <v>754.48018254049146</v>
      </c>
      <c r="R35" s="29">
        <v>-41.480182540491455</v>
      </c>
      <c r="S35" s="29">
        <v>-0.11654841361277354</v>
      </c>
      <c r="T35" s="29">
        <f t="shared" si="1"/>
        <v>1720.6055435924923</v>
      </c>
      <c r="U35" s="29">
        <v>292.14999999999998</v>
      </c>
      <c r="V35" s="29">
        <v>33.1</v>
      </c>
      <c r="W35" s="30">
        <v>2350.1</v>
      </c>
      <c r="AE35" s="28">
        <v>11</v>
      </c>
      <c r="AF35" s="29">
        <v>747.99239427821885</v>
      </c>
      <c r="AG35" s="29">
        <v>172.00760572178115</v>
      </c>
      <c r="AH35" s="30">
        <v>171.37915747777265</v>
      </c>
    </row>
    <row r="36" spans="1:35" x14ac:dyDescent="0.2">
      <c r="A36" s="28" t="s">
        <v>24</v>
      </c>
      <c r="B36" s="29">
        <v>14</v>
      </c>
      <c r="C36" s="29">
        <v>2153364.2869916484</v>
      </c>
      <c r="D36" s="29">
        <v>153811.73478511773</v>
      </c>
      <c r="E36" s="29"/>
      <c r="F36" s="29"/>
      <c r="G36" s="29"/>
      <c r="H36" s="29"/>
      <c r="I36" s="30"/>
      <c r="P36" s="28">
        <v>10</v>
      </c>
      <c r="Q36" s="29">
        <v>588.62084252222735</v>
      </c>
      <c r="R36" s="29">
        <v>171.37915747777265</v>
      </c>
      <c r="S36" s="29">
        <v>0.48153040095303901</v>
      </c>
      <c r="T36" s="29">
        <f t="shared" si="1"/>
        <v>29370.815617791199</v>
      </c>
      <c r="U36" s="29">
        <v>304.98</v>
      </c>
      <c r="V36" s="29">
        <v>39.700000000000003</v>
      </c>
      <c r="W36" s="30">
        <v>2782.97</v>
      </c>
      <c r="AE36" s="28">
        <v>12</v>
      </c>
      <c r="AF36" s="29">
        <v>1297.1985728984941</v>
      </c>
      <c r="AG36" s="29">
        <v>-257.19857289849415</v>
      </c>
      <c r="AH36" s="30">
        <v>172.00760572178115</v>
      </c>
    </row>
    <row r="37" spans="1:35" ht="16" thickBot="1" x14ac:dyDescent="0.25">
      <c r="A37" s="75" t="s">
        <v>25</v>
      </c>
      <c r="B37" s="33">
        <v>17</v>
      </c>
      <c r="C37" s="33">
        <v>59450431.29517778</v>
      </c>
      <c r="D37" s="33"/>
      <c r="E37" s="33"/>
      <c r="F37" s="33"/>
      <c r="G37" s="29"/>
      <c r="H37" s="29"/>
      <c r="I37" s="30"/>
      <c r="P37" s="28">
        <v>11</v>
      </c>
      <c r="Q37" s="29">
        <v>747.99239427821885</v>
      </c>
      <c r="R37" s="29">
        <v>172.00760572178115</v>
      </c>
      <c r="S37" s="29">
        <v>0.48329617538774466</v>
      </c>
      <c r="T37" s="29">
        <f t="shared" si="1"/>
        <v>29586.616426139717</v>
      </c>
      <c r="U37" s="29">
        <v>284.67</v>
      </c>
      <c r="V37" s="29">
        <v>47.1</v>
      </c>
      <c r="W37" s="30">
        <v>3442.5390000000002</v>
      </c>
      <c r="AE37" s="28">
        <v>13</v>
      </c>
      <c r="AF37" s="29">
        <v>2268.6844081350182</v>
      </c>
      <c r="AG37" s="29">
        <v>-611.6844081350182</v>
      </c>
      <c r="AH37" s="30">
        <v>-257.19857289849415</v>
      </c>
    </row>
    <row r="38" spans="1:35" ht="16" thickBot="1" x14ac:dyDescent="0.25">
      <c r="A38" s="28"/>
      <c r="B38" s="29"/>
      <c r="C38" s="29"/>
      <c r="D38" s="29"/>
      <c r="E38" s="29"/>
      <c r="F38" s="29"/>
      <c r="G38" s="29"/>
      <c r="H38" s="29"/>
      <c r="I38" s="30"/>
      <c r="P38" s="28">
        <v>12</v>
      </c>
      <c r="Q38" s="29">
        <v>1297.1985728984941</v>
      </c>
      <c r="R38" s="29">
        <v>-257.19857289849415</v>
      </c>
      <c r="S38" s="29">
        <v>-0.72266040838964996</v>
      </c>
      <c r="T38" s="29">
        <f t="shared" si="1"/>
        <v>66151.105901022005</v>
      </c>
      <c r="U38" s="29">
        <v>389.6</v>
      </c>
      <c r="V38" s="29">
        <v>57.7</v>
      </c>
      <c r="W38" s="30">
        <v>4385.777000000001</v>
      </c>
      <c r="AE38" s="28">
        <v>14</v>
      </c>
      <c r="AF38" s="29">
        <v>1531.0150246883832</v>
      </c>
      <c r="AG38" s="29">
        <v>500.98497531161684</v>
      </c>
      <c r="AH38" s="30">
        <v>-611.6844081350182</v>
      </c>
    </row>
    <row r="39" spans="1:35" x14ac:dyDescent="0.2">
      <c r="A39" s="34"/>
      <c r="B39" s="35" t="s">
        <v>32</v>
      </c>
      <c r="C39" s="35" t="s">
        <v>20</v>
      </c>
      <c r="D39" s="35" t="s">
        <v>33</v>
      </c>
      <c r="E39" s="35" t="s">
        <v>34</v>
      </c>
      <c r="F39" s="35" t="s">
        <v>35</v>
      </c>
      <c r="G39" s="35" t="s">
        <v>36</v>
      </c>
      <c r="H39" s="35" t="s">
        <v>37</v>
      </c>
      <c r="I39" s="36" t="s">
        <v>38</v>
      </c>
      <c r="P39" s="28">
        <v>13</v>
      </c>
      <c r="Q39" s="29">
        <v>2268.6844081350182</v>
      </c>
      <c r="R39" s="29">
        <v>-611.6844081350182</v>
      </c>
      <c r="S39" s="29">
        <v>-1.7186724607639596</v>
      </c>
      <c r="T39" s="29">
        <f t="shared" si="1"/>
        <v>374157.81515548751</v>
      </c>
      <c r="U39" s="29">
        <v>484</v>
      </c>
      <c r="V39" s="29">
        <v>64.5</v>
      </c>
      <c r="W39" s="30">
        <v>5215.47</v>
      </c>
      <c r="AE39" s="28">
        <v>15</v>
      </c>
      <c r="AF39" s="29">
        <v>3621.9477849506857</v>
      </c>
      <c r="AG39" s="29">
        <v>-400.94778495068567</v>
      </c>
      <c r="AH39" s="30">
        <v>500.98497531161684</v>
      </c>
    </row>
    <row r="40" spans="1:35" x14ac:dyDescent="0.2">
      <c r="A40" s="28" t="s">
        <v>26</v>
      </c>
      <c r="B40" s="29">
        <v>592.6870084896218</v>
      </c>
      <c r="C40" s="29">
        <v>362.66244610553269</v>
      </c>
      <c r="D40" s="29">
        <v>1.6342662849551102</v>
      </c>
      <c r="E40" s="29">
        <v>0.12448080484994137</v>
      </c>
      <c r="F40" s="29">
        <v>-185.14657812523288</v>
      </c>
      <c r="G40" s="29">
        <v>1370.5205951044766</v>
      </c>
      <c r="H40" s="29">
        <v>-185.14657812523288</v>
      </c>
      <c r="I40" s="30">
        <v>1370.5205951044766</v>
      </c>
      <c r="P40" s="28">
        <v>14</v>
      </c>
      <c r="Q40" s="29">
        <v>1531.0150246883832</v>
      </c>
      <c r="R40" s="29">
        <v>500.98497531161684</v>
      </c>
      <c r="S40" s="29">
        <v>1.4076361418951382</v>
      </c>
      <c r="T40" s="29">
        <f t="shared" si="1"/>
        <v>250985.94548798134</v>
      </c>
      <c r="U40" s="29">
        <v>61.77</v>
      </c>
      <c r="V40" s="29">
        <v>64.7</v>
      </c>
      <c r="W40" s="30">
        <v>5346.808</v>
      </c>
      <c r="AE40" s="28">
        <v>16</v>
      </c>
      <c r="AF40" s="29">
        <v>4486.9556377664348</v>
      </c>
      <c r="AG40" s="29">
        <v>-565.95563776643485</v>
      </c>
      <c r="AH40" s="30">
        <v>-400.94778495068567</v>
      </c>
    </row>
    <row r="41" spans="1:35" x14ac:dyDescent="0.2">
      <c r="A41" s="28" t="s">
        <v>39</v>
      </c>
      <c r="B41" s="29">
        <v>2.4230025201110093</v>
      </c>
      <c r="C41" s="29">
        <v>0.63784007664745279</v>
      </c>
      <c r="D41" s="29">
        <v>3.7987618038153661</v>
      </c>
      <c r="E41" s="29">
        <v>1.9555843266153305E-3</v>
      </c>
      <c r="F41" s="29">
        <v>1.0549716146970805</v>
      </c>
      <c r="G41" s="29">
        <v>3.791033425524938</v>
      </c>
      <c r="H41" s="29">
        <v>1.0549716146970805</v>
      </c>
      <c r="I41" s="30">
        <v>3.791033425524938</v>
      </c>
      <c r="P41" s="28">
        <v>15</v>
      </c>
      <c r="Q41" s="29">
        <v>3621.9477849506857</v>
      </c>
      <c r="R41" s="29">
        <v>-400.94778495068567</v>
      </c>
      <c r="S41" s="29">
        <v>-1.1265579227367652</v>
      </c>
      <c r="T41" s="29">
        <f t="shared" si="1"/>
        <v>160759.12625686129</v>
      </c>
      <c r="U41" s="29">
        <v>728.51</v>
      </c>
      <c r="V41" s="29">
        <v>70.3</v>
      </c>
      <c r="W41" s="30">
        <v>5974.7969999999996</v>
      </c>
      <c r="AE41" s="28">
        <v>17</v>
      </c>
      <c r="AF41" s="29">
        <v>4596.7250677919719</v>
      </c>
      <c r="AG41" s="29">
        <v>389.27493220802808</v>
      </c>
      <c r="AH41" s="30">
        <v>-565.95563776643485</v>
      </c>
    </row>
    <row r="42" spans="1:35" ht="16" thickBot="1" x14ac:dyDescent="0.25">
      <c r="A42" s="28" t="s">
        <v>49</v>
      </c>
      <c r="B42" s="29">
        <v>-191.48243937701423</v>
      </c>
      <c r="C42" s="29">
        <v>45.469276012983848</v>
      </c>
      <c r="D42" s="29">
        <v>-4.2112489172322869</v>
      </c>
      <c r="E42" s="29">
        <v>8.7128378462855564E-4</v>
      </c>
      <c r="F42" s="29">
        <v>-289.00433727892232</v>
      </c>
      <c r="G42" s="29">
        <v>-93.96054147510614</v>
      </c>
      <c r="H42" s="29">
        <v>-289.00433727892232</v>
      </c>
      <c r="I42" s="30">
        <v>-93.96054147510614</v>
      </c>
      <c r="P42" s="28">
        <v>16</v>
      </c>
      <c r="Q42" s="29">
        <v>4486.9556377664348</v>
      </c>
      <c r="R42" s="29">
        <v>-565.95563776643485</v>
      </c>
      <c r="S42" s="29">
        <v>-1.5901866317124935</v>
      </c>
      <c r="T42" s="29">
        <f t="shared" si="1"/>
        <v>320305.783919612</v>
      </c>
      <c r="U42" s="29">
        <v>756.22</v>
      </c>
      <c r="V42" s="29">
        <v>74</v>
      </c>
      <c r="W42" s="30">
        <v>6586</v>
      </c>
      <c r="AE42" s="75">
        <v>18</v>
      </c>
      <c r="AF42" s="33">
        <v>5772.2242245040006</v>
      </c>
      <c r="AG42" s="33">
        <v>586.77577549599937</v>
      </c>
      <c r="AH42" s="37">
        <v>389.27493220802808</v>
      </c>
    </row>
    <row r="43" spans="1:35" ht="16" thickBot="1" x14ac:dyDescent="0.25">
      <c r="A43" s="75" t="s">
        <v>50</v>
      </c>
      <c r="B43" s="33">
        <v>2.4645682018550743</v>
      </c>
      <c r="C43" s="33">
        <v>0.51941467200277425</v>
      </c>
      <c r="D43" s="33">
        <v>4.7448952343839661</v>
      </c>
      <c r="E43" s="33">
        <v>3.1345324673506521E-4</v>
      </c>
      <c r="F43" s="33">
        <v>1.3505345278343315</v>
      </c>
      <c r="G43" s="33">
        <v>3.5786018758758171</v>
      </c>
      <c r="H43" s="33">
        <v>1.3505345278343315</v>
      </c>
      <c r="I43" s="37">
        <v>3.5786018758758171</v>
      </c>
      <c r="P43" s="28">
        <v>17</v>
      </c>
      <c r="Q43" s="29">
        <v>4596.7250677919719</v>
      </c>
      <c r="R43" s="29">
        <v>389.27493220802808</v>
      </c>
      <c r="S43" s="29">
        <v>1.0937602736867826</v>
      </c>
      <c r="T43" s="29">
        <f t="shared" si="1"/>
        <v>151534.97284556486</v>
      </c>
      <c r="U43" s="29">
        <v>822.2</v>
      </c>
      <c r="V43" s="29">
        <v>77.7</v>
      </c>
      <c r="W43" s="30">
        <v>6853.14</v>
      </c>
    </row>
    <row r="44" spans="1:35" ht="16" thickBot="1" x14ac:dyDescent="0.25">
      <c r="A44" s="28"/>
      <c r="B44" s="29"/>
      <c r="C44" s="29"/>
      <c r="D44" s="29"/>
      <c r="E44" s="29"/>
      <c r="F44" s="29"/>
      <c r="G44" s="29"/>
      <c r="H44" s="29"/>
      <c r="I44" s="30"/>
      <c r="P44" s="75">
        <v>18</v>
      </c>
      <c r="Q44" s="33">
        <v>5772.2242245040006</v>
      </c>
      <c r="R44" s="33">
        <v>586.77577549599937</v>
      </c>
      <c r="S44" s="33">
        <v>1.6486857480365715</v>
      </c>
      <c r="T44" s="33">
        <f t="shared" si="1"/>
        <v>344305.81070893147</v>
      </c>
      <c r="U44" s="33">
        <v>1161.5999999999999</v>
      </c>
      <c r="V44" s="33">
        <v>83.4</v>
      </c>
      <c r="W44" s="37">
        <v>7439.2800000000007</v>
      </c>
    </row>
    <row r="45" spans="1:35" x14ac:dyDescent="0.2">
      <c r="A45" s="28"/>
      <c r="B45" s="29"/>
      <c r="C45" s="29"/>
      <c r="D45" s="29"/>
      <c r="E45" s="29"/>
      <c r="F45" s="29"/>
      <c r="G45" s="29"/>
      <c r="H45" s="29"/>
      <c r="I45" s="30"/>
    </row>
    <row r="46" spans="1:35" x14ac:dyDescent="0.2">
      <c r="A46" s="28"/>
      <c r="B46" s="29"/>
      <c r="C46" s="29"/>
      <c r="D46" s="29"/>
      <c r="E46" s="29"/>
      <c r="F46" s="29"/>
      <c r="G46" s="29"/>
      <c r="H46" s="29"/>
      <c r="I46" s="30"/>
    </row>
    <row r="47" spans="1:35" x14ac:dyDescent="0.2">
      <c r="A47" s="28" t="s">
        <v>54</v>
      </c>
      <c r="B47" s="29"/>
      <c r="C47" s="29"/>
      <c r="D47" s="29"/>
      <c r="E47" s="29"/>
      <c r="F47" s="29"/>
      <c r="G47" s="29"/>
      <c r="H47" s="29"/>
      <c r="I47" s="30"/>
      <c r="P47" s="71" t="s">
        <v>103</v>
      </c>
      <c r="Q47" s="72"/>
      <c r="R47" s="72"/>
      <c r="S47" s="62"/>
      <c r="AE47" s="42" t="s">
        <v>47</v>
      </c>
      <c r="AI47" s="41"/>
    </row>
    <row r="48" spans="1:35" ht="35" thickBot="1" x14ac:dyDescent="0.25">
      <c r="A48" s="28"/>
      <c r="B48" s="29"/>
      <c r="C48" s="29"/>
      <c r="D48" s="29"/>
      <c r="E48" s="29"/>
      <c r="F48" s="29"/>
      <c r="G48" s="29"/>
      <c r="H48" s="29"/>
      <c r="I48" s="30"/>
      <c r="P48" s="60" t="s">
        <v>72</v>
      </c>
      <c r="Q48" s="60" t="s">
        <v>73</v>
      </c>
      <c r="R48" s="60" t="s">
        <v>74</v>
      </c>
      <c r="S48" s="60" t="s">
        <v>99</v>
      </c>
      <c r="AE48" s="68"/>
      <c r="AF48" s="69" t="s">
        <v>56</v>
      </c>
      <c r="AG48" s="69" t="s">
        <v>79</v>
      </c>
    </row>
    <row r="49" spans="1:33" ht="17" x14ac:dyDescent="0.2">
      <c r="A49" s="34" t="s">
        <v>55</v>
      </c>
      <c r="B49" s="35" t="s">
        <v>98</v>
      </c>
      <c r="C49" s="35" t="s">
        <v>56</v>
      </c>
      <c r="D49" s="35" t="s">
        <v>57</v>
      </c>
      <c r="E49" s="29"/>
      <c r="F49" s="29"/>
      <c r="G49" s="29"/>
      <c r="H49" s="29"/>
      <c r="I49" s="30"/>
      <c r="P49" s="77">
        <v>29.3</v>
      </c>
      <c r="Q49" s="77">
        <v>100</v>
      </c>
      <c r="R49" s="77">
        <v>3.25</v>
      </c>
      <c r="S49" s="77">
        <v>57.102499999999999</v>
      </c>
      <c r="AE49" s="69" t="s">
        <v>56</v>
      </c>
      <c r="AF49" s="5">
        <v>1</v>
      </c>
      <c r="AG49" s="5"/>
    </row>
    <row r="50" spans="1:33" ht="34" x14ac:dyDescent="0.2">
      <c r="A50" s="28">
        <v>1</v>
      </c>
      <c r="B50" s="29">
        <v>353.40233827185591</v>
      </c>
      <c r="C50" s="29">
        <v>-324.1023382718559</v>
      </c>
      <c r="D50" s="29">
        <v>-0.91064240946630526</v>
      </c>
      <c r="E50" s="29"/>
      <c r="F50" s="29"/>
      <c r="G50" s="29"/>
      <c r="H50" s="29"/>
      <c r="I50" s="30"/>
      <c r="P50" s="77">
        <v>95.35</v>
      </c>
      <c r="Q50" s="77">
        <v>135.4</v>
      </c>
      <c r="R50" s="77">
        <v>5</v>
      </c>
      <c r="S50" s="77">
        <v>123</v>
      </c>
      <c r="AE50" s="69" t="s">
        <v>79</v>
      </c>
      <c r="AF50" s="5">
        <v>3.2431975283399195E-2</v>
      </c>
      <c r="AG50" s="5">
        <v>1</v>
      </c>
    </row>
    <row r="51" spans="1:33" x14ac:dyDescent="0.2">
      <c r="A51" s="28">
        <v>2</v>
      </c>
      <c r="B51" s="29">
        <v>266.49124165575546</v>
      </c>
      <c r="C51" s="29">
        <v>-171.14124165575546</v>
      </c>
      <c r="D51" s="29">
        <v>-0.48086192000789335</v>
      </c>
      <c r="E51" s="29"/>
      <c r="F51" s="29"/>
      <c r="G51" s="29"/>
      <c r="H51" s="29"/>
      <c r="I51" s="30"/>
      <c r="P51" s="77">
        <v>128.31</v>
      </c>
      <c r="Q51" s="77">
        <v>150</v>
      </c>
      <c r="R51" s="77">
        <v>9</v>
      </c>
      <c r="S51" s="77">
        <v>252.9</v>
      </c>
    </row>
    <row r="52" spans="1:33" x14ac:dyDescent="0.2">
      <c r="A52" s="28">
        <v>3</v>
      </c>
      <c r="B52" s="29">
        <v>-143.91526963770656</v>
      </c>
      <c r="C52" s="29">
        <v>272.22526963770656</v>
      </c>
      <c r="D52" s="29">
        <v>0.76488147781444937</v>
      </c>
      <c r="E52" s="29"/>
      <c r="F52" s="29"/>
      <c r="G52" s="29"/>
      <c r="H52" s="29"/>
      <c r="I52" s="30"/>
      <c r="P52" s="77">
        <v>150</v>
      </c>
      <c r="Q52" s="77">
        <v>158.34</v>
      </c>
      <c r="R52" s="77">
        <v>9.3000000000000007</v>
      </c>
      <c r="S52" s="77">
        <v>275.28000000000003</v>
      </c>
      <c r="AE52" t="s">
        <v>80</v>
      </c>
      <c r="AF52">
        <f>AF50</f>
        <v>3.2431975283399195E-2</v>
      </c>
    </row>
    <row r="53" spans="1:33" x14ac:dyDescent="0.2">
      <c r="A53" s="28">
        <v>4</v>
      </c>
      <c r="B53" s="29">
        <v>-125.99512407556854</v>
      </c>
      <c r="C53" s="29">
        <v>275.99512407556853</v>
      </c>
      <c r="D53" s="29">
        <v>0.7754737782185035</v>
      </c>
      <c r="E53" s="29"/>
      <c r="F53" s="29"/>
      <c r="G53" s="29"/>
      <c r="H53" s="29"/>
      <c r="I53" s="30"/>
      <c r="P53" s="77">
        <v>260</v>
      </c>
      <c r="Q53" s="77">
        <v>170.255</v>
      </c>
      <c r="R53" s="77">
        <v>11</v>
      </c>
      <c r="S53" s="77">
        <v>438.9</v>
      </c>
      <c r="AF53">
        <f>SQRT(1-AF52^2)/(18-2)</f>
        <v>6.2467121570171348E-2</v>
      </c>
    </row>
    <row r="54" spans="1:33" x14ac:dyDescent="0.2">
      <c r="A54" s="28">
        <v>5</v>
      </c>
      <c r="B54" s="29">
        <v>-19.392546801842716</v>
      </c>
      <c r="C54" s="29">
        <v>279.39254680184274</v>
      </c>
      <c r="D54" s="29">
        <v>0.78501964337309194</v>
      </c>
      <c r="E54" s="29"/>
      <c r="F54" s="29"/>
      <c r="G54" s="29"/>
      <c r="H54" s="29"/>
      <c r="I54" s="30"/>
      <c r="P54" s="77">
        <v>330</v>
      </c>
      <c r="Q54" s="77">
        <v>248.64</v>
      </c>
      <c r="R54" s="77">
        <v>18.7</v>
      </c>
      <c r="S54" s="77">
        <v>1084.5999999999999</v>
      </c>
      <c r="AE54" t="s">
        <v>81</v>
      </c>
      <c r="AF54">
        <f>ABS(AF52)/AF53</f>
        <v>0.51918472419074568</v>
      </c>
    </row>
    <row r="55" spans="1:33" x14ac:dyDescent="0.2">
      <c r="A55" s="28">
        <v>6</v>
      </c>
      <c r="B55" s="29">
        <v>287.49141047187027</v>
      </c>
      <c r="C55" s="29">
        <v>42.508589528129733</v>
      </c>
      <c r="D55" s="29">
        <v>0.11943796702398456</v>
      </c>
      <c r="E55" s="29"/>
      <c r="F55" s="29"/>
      <c r="G55" s="29"/>
      <c r="H55" s="29"/>
      <c r="I55" s="30"/>
      <c r="P55" s="77">
        <v>405</v>
      </c>
      <c r="Q55" s="77">
        <v>293.66000000000003</v>
      </c>
      <c r="R55" s="77">
        <v>23.3</v>
      </c>
      <c r="S55" s="77">
        <v>1537.8</v>
      </c>
      <c r="AE55" t="s">
        <v>82</v>
      </c>
      <c r="AF55">
        <f>TINV(0.05,18-2)</f>
        <v>2.119905299221255</v>
      </c>
    </row>
    <row r="56" spans="1:33" x14ac:dyDescent="0.2">
      <c r="A56" s="28">
        <v>7</v>
      </c>
      <c r="B56" s="29">
        <v>632.69807187372237</v>
      </c>
      <c r="C56" s="29">
        <v>-227.69807187372237</v>
      </c>
      <c r="D56" s="29">
        <v>-0.63977175205688508</v>
      </c>
      <c r="E56" s="29"/>
      <c r="F56" s="29"/>
      <c r="G56" s="29"/>
      <c r="H56" s="29"/>
      <c r="I56" s="30"/>
      <c r="P56" s="61">
        <v>544</v>
      </c>
      <c r="Q56" s="61">
        <v>283.42</v>
      </c>
      <c r="R56" s="61">
        <v>27</v>
      </c>
      <c r="S56" s="61">
        <v>1836</v>
      </c>
    </row>
    <row r="57" spans="1:33" x14ac:dyDescent="0.2">
      <c r="A57" s="28">
        <v>8</v>
      </c>
      <c r="B57" s="29">
        <v>634.33573816601654</v>
      </c>
      <c r="C57" s="29">
        <v>-90.33573816601654</v>
      </c>
      <c r="D57" s="29">
        <v>-0.25381968764266116</v>
      </c>
      <c r="E57" s="29"/>
      <c r="F57" s="29"/>
      <c r="G57" s="29"/>
      <c r="H57" s="29"/>
      <c r="I57" s="30"/>
      <c r="P57" s="61">
        <v>713</v>
      </c>
      <c r="Q57" s="61">
        <v>292.14999999999998</v>
      </c>
      <c r="R57" s="61">
        <v>33.1</v>
      </c>
      <c r="S57" s="61">
        <v>2350.1</v>
      </c>
      <c r="AE57" s="43" t="s">
        <v>83</v>
      </c>
      <c r="AF57" s="43" t="b">
        <f>IF(AF54&lt;=AF55,TRUE,FALSE)</f>
        <v>1</v>
      </c>
    </row>
    <row r="58" spans="1:33" x14ac:dyDescent="0.2">
      <c r="A58" s="28">
        <v>9</v>
      </c>
      <c r="B58" s="29">
        <v>754.48018254049146</v>
      </c>
      <c r="C58" s="29">
        <v>-41.480182540491455</v>
      </c>
      <c r="D58" s="29">
        <v>-0.11654841361277354</v>
      </c>
      <c r="E58" s="29"/>
      <c r="F58" s="29"/>
      <c r="G58" s="29"/>
      <c r="H58" s="29"/>
      <c r="I58" s="30"/>
      <c r="P58" s="61">
        <v>760</v>
      </c>
      <c r="Q58" s="61">
        <v>304.98</v>
      </c>
      <c r="R58" s="61">
        <v>39.700000000000003</v>
      </c>
      <c r="S58" s="61">
        <v>2782.97</v>
      </c>
    </row>
    <row r="59" spans="1:33" ht="16" x14ac:dyDescent="0.2">
      <c r="A59" s="28">
        <v>10</v>
      </c>
      <c r="B59" s="29">
        <v>588.62084252222735</v>
      </c>
      <c r="C59" s="29">
        <v>171.37915747777265</v>
      </c>
      <c r="D59" s="29">
        <v>0.48153040095303901</v>
      </c>
      <c r="E59" s="29"/>
      <c r="F59" s="29"/>
      <c r="G59" s="29"/>
      <c r="H59" s="29"/>
      <c r="I59" s="30"/>
      <c r="P59" s="61">
        <v>920</v>
      </c>
      <c r="Q59" s="61">
        <v>284.67</v>
      </c>
      <c r="R59" s="61">
        <v>47.1</v>
      </c>
      <c r="S59" s="61">
        <v>3442.5390000000002</v>
      </c>
      <c r="AE59" s="157" t="s">
        <v>85</v>
      </c>
      <c r="AF59" s="157"/>
    </row>
    <row r="60" spans="1:33" x14ac:dyDescent="0.2">
      <c r="A60" s="28">
        <v>11</v>
      </c>
      <c r="B60" s="29">
        <v>747.99239427821885</v>
      </c>
      <c r="C60" s="29">
        <v>172.00760572178115</v>
      </c>
      <c r="D60" s="29">
        <v>0.48329617538774466</v>
      </c>
      <c r="E60" s="29"/>
      <c r="F60" s="29"/>
      <c r="G60" s="29"/>
      <c r="H60" s="29"/>
      <c r="I60" s="30"/>
      <c r="P60" s="77">
        <v>1040</v>
      </c>
      <c r="Q60" s="77">
        <v>389.6</v>
      </c>
      <c r="R60" s="77">
        <v>57.7</v>
      </c>
      <c r="S60" s="77">
        <v>4385.777000000001</v>
      </c>
    </row>
    <row r="61" spans="1:33" x14ac:dyDescent="0.2">
      <c r="A61" s="28">
        <v>12</v>
      </c>
      <c r="B61" s="29">
        <v>1297.1985728984941</v>
      </c>
      <c r="C61" s="29">
        <v>-257.19857289849415</v>
      </c>
      <c r="D61" s="29">
        <v>-0.72266040838964996</v>
      </c>
      <c r="E61" s="29"/>
      <c r="F61" s="29"/>
      <c r="G61" s="29"/>
      <c r="H61" s="29"/>
      <c r="I61" s="30"/>
      <c r="P61" s="77">
        <v>1657</v>
      </c>
      <c r="Q61" s="77">
        <v>484</v>
      </c>
      <c r="R61" s="77">
        <v>64.5</v>
      </c>
      <c r="S61" s="77">
        <v>5215.47</v>
      </c>
    </row>
    <row r="62" spans="1:33" x14ac:dyDescent="0.2">
      <c r="A62" s="28">
        <v>13</v>
      </c>
      <c r="B62" s="29">
        <v>2268.6844081350182</v>
      </c>
      <c r="C62" s="29">
        <v>-611.6844081350182</v>
      </c>
      <c r="D62" s="29">
        <v>-1.7186724607639596</v>
      </c>
      <c r="E62" s="29"/>
      <c r="F62" s="29"/>
      <c r="G62" s="29"/>
      <c r="H62" s="29"/>
      <c r="I62" s="30"/>
      <c r="P62" s="77">
        <v>2032</v>
      </c>
      <c r="Q62" s="77">
        <v>61.77</v>
      </c>
      <c r="R62" s="77">
        <v>64.7</v>
      </c>
      <c r="S62" s="77">
        <v>5346.808</v>
      </c>
      <c r="Y62" t="s">
        <v>100</v>
      </c>
    </row>
    <row r="63" spans="1:33" x14ac:dyDescent="0.2">
      <c r="A63" s="28">
        <v>14</v>
      </c>
      <c r="B63" s="29">
        <v>1531.0150246883832</v>
      </c>
      <c r="C63" s="29">
        <v>500.98497531161684</v>
      </c>
      <c r="D63" s="29">
        <v>1.4076361418951382</v>
      </c>
      <c r="E63" s="29"/>
      <c r="F63" s="29"/>
      <c r="G63" s="29"/>
      <c r="H63" s="29"/>
      <c r="I63" s="30"/>
      <c r="P63" s="77">
        <v>3221</v>
      </c>
      <c r="Q63" s="77">
        <v>728.51</v>
      </c>
      <c r="R63" s="77">
        <v>70.3</v>
      </c>
      <c r="S63" s="77">
        <v>5974.7969999999996</v>
      </c>
      <c r="Y63" t="s">
        <v>104</v>
      </c>
    </row>
    <row r="64" spans="1:33" x14ac:dyDescent="0.2">
      <c r="A64" s="28">
        <v>15</v>
      </c>
      <c r="B64" s="29">
        <v>3621.9477849506857</v>
      </c>
      <c r="C64" s="29">
        <v>-400.94778495068567</v>
      </c>
      <c r="D64" s="29">
        <v>-1.1265579227367652</v>
      </c>
      <c r="E64" s="29"/>
      <c r="F64" s="29"/>
      <c r="G64" s="29"/>
      <c r="H64" s="29"/>
      <c r="I64" s="30"/>
      <c r="P64" s="77">
        <v>3921</v>
      </c>
      <c r="Q64" s="77">
        <v>756.22</v>
      </c>
      <c r="R64" s="77">
        <v>74</v>
      </c>
      <c r="S64" s="77">
        <v>6586</v>
      </c>
    </row>
    <row r="65" spans="1:21" x14ac:dyDescent="0.2">
      <c r="A65" s="28">
        <v>16</v>
      </c>
      <c r="B65" s="29">
        <v>4486.9556377664348</v>
      </c>
      <c r="C65" s="29">
        <v>-565.95563776643485</v>
      </c>
      <c r="D65" s="29">
        <v>-1.5901866317124935</v>
      </c>
      <c r="E65" s="29"/>
      <c r="F65" s="29"/>
      <c r="G65" s="29"/>
      <c r="H65" s="29"/>
      <c r="I65" s="30"/>
      <c r="P65" s="77">
        <v>4986</v>
      </c>
      <c r="Q65" s="77">
        <v>822.2</v>
      </c>
      <c r="R65" s="77">
        <v>77.7</v>
      </c>
      <c r="S65" s="77">
        <v>6853.14</v>
      </c>
    </row>
    <row r="66" spans="1:21" x14ac:dyDescent="0.2">
      <c r="A66" s="28">
        <v>17</v>
      </c>
      <c r="B66" s="29">
        <v>4596.7250677919719</v>
      </c>
      <c r="C66" s="29">
        <v>389.27493220802808</v>
      </c>
      <c r="D66" s="29">
        <v>1.0937602736867826</v>
      </c>
      <c r="E66" s="29"/>
      <c r="F66" s="29"/>
      <c r="G66" s="29"/>
      <c r="H66" s="29"/>
      <c r="I66" s="30"/>
      <c r="P66" s="77">
        <v>6359</v>
      </c>
      <c r="Q66" s="77">
        <v>1161.5999999999999</v>
      </c>
      <c r="R66" s="77">
        <v>83.4</v>
      </c>
      <c r="S66" s="77">
        <v>7439.2800000000007</v>
      </c>
    </row>
    <row r="67" spans="1:21" ht="16" thickBot="1" x14ac:dyDescent="0.25">
      <c r="A67" s="75">
        <v>18</v>
      </c>
      <c r="B67" s="33">
        <v>5772.2242245040006</v>
      </c>
      <c r="C67" s="33">
        <v>586.77577549599937</v>
      </c>
      <c r="D67" s="33">
        <v>1.6486857480365715</v>
      </c>
      <c r="E67" s="33"/>
      <c r="F67" s="33"/>
      <c r="G67" s="33"/>
      <c r="H67" s="33"/>
      <c r="I67" s="37"/>
    </row>
    <row r="70" spans="1:21" x14ac:dyDescent="0.2">
      <c r="P70" t="s">
        <v>53</v>
      </c>
      <c r="Q70" t="s">
        <v>101</v>
      </c>
    </row>
    <row r="71" spans="1:21" ht="16" thickBot="1" x14ac:dyDescent="0.25">
      <c r="P71" t="s">
        <v>22</v>
      </c>
    </row>
    <row r="72" spans="1:21" ht="16" x14ac:dyDescent="0.2">
      <c r="K72" s="155" t="s">
        <v>86</v>
      </c>
      <c r="L72" s="155"/>
      <c r="M72" s="155"/>
      <c r="N72" s="155"/>
      <c r="P72" s="74"/>
      <c r="Q72" s="74" t="s">
        <v>27</v>
      </c>
      <c r="R72" s="74" t="s">
        <v>28</v>
      </c>
      <c r="S72" s="74" t="s">
        <v>29</v>
      </c>
      <c r="T72" s="74" t="s">
        <v>30</v>
      </c>
      <c r="U72" s="74" t="s">
        <v>31</v>
      </c>
    </row>
    <row r="73" spans="1:21" x14ac:dyDescent="0.2">
      <c r="P73" t="s">
        <v>23</v>
      </c>
      <c r="Q73">
        <v>3</v>
      </c>
      <c r="R73">
        <v>104443.27610440757</v>
      </c>
      <c r="S73">
        <v>34814.42536813586</v>
      </c>
      <c r="T73">
        <v>17.974308153754755</v>
      </c>
      <c r="U73">
        <v>2.0212100696628429E-2</v>
      </c>
    </row>
    <row r="74" spans="1:21" x14ac:dyDescent="0.2">
      <c r="P74" t="s">
        <v>24</v>
      </c>
      <c r="Q74">
        <v>3</v>
      </c>
      <c r="R74" s="78">
        <v>5810.6979813067146</v>
      </c>
      <c r="S74">
        <v>1936.8993271022382</v>
      </c>
    </row>
    <row r="75" spans="1:21" ht="16" thickBot="1" x14ac:dyDescent="0.25">
      <c r="P75" s="73" t="s">
        <v>25</v>
      </c>
      <c r="Q75" s="73">
        <v>6</v>
      </c>
      <c r="R75" s="73">
        <v>110253.97408571429</v>
      </c>
      <c r="S75" s="73"/>
      <c r="T75" s="73"/>
      <c r="U75" s="73"/>
    </row>
    <row r="77" spans="1:21" x14ac:dyDescent="0.2">
      <c r="P77" t="s">
        <v>53</v>
      </c>
      <c r="Q77" t="s">
        <v>102</v>
      </c>
    </row>
    <row r="78" spans="1:21" ht="16" thickBot="1" x14ac:dyDescent="0.25">
      <c r="P78" t="s">
        <v>22</v>
      </c>
    </row>
    <row r="79" spans="1:21" x14ac:dyDescent="0.2">
      <c r="P79" s="74"/>
      <c r="Q79" s="74" t="s">
        <v>27</v>
      </c>
      <c r="R79" s="74" t="s">
        <v>28</v>
      </c>
      <c r="S79" s="74" t="s">
        <v>29</v>
      </c>
      <c r="T79" s="74" t="s">
        <v>30</v>
      </c>
      <c r="U79" s="74" t="s">
        <v>31</v>
      </c>
    </row>
    <row r="80" spans="1:21" x14ac:dyDescent="0.2">
      <c r="P80" t="s">
        <v>23</v>
      </c>
      <c r="Q80">
        <v>3</v>
      </c>
      <c r="R80">
        <v>21638490.93919361</v>
      </c>
      <c r="S80">
        <v>7212830.313064537</v>
      </c>
      <c r="T80">
        <v>59.053990707092979</v>
      </c>
      <c r="U80">
        <v>3.6295648757568256E-3</v>
      </c>
    </row>
    <row r="81" spans="2:21" x14ac:dyDescent="0.2">
      <c r="P81" t="s">
        <v>24</v>
      </c>
      <c r="Q81">
        <v>3</v>
      </c>
      <c r="R81" s="78">
        <v>366418.77509210585</v>
      </c>
      <c r="S81">
        <v>122139.59169736861</v>
      </c>
    </row>
    <row r="82" spans="2:21" ht="16" thickBot="1" x14ac:dyDescent="0.25">
      <c r="P82" s="73" t="s">
        <v>25</v>
      </c>
      <c r="Q82" s="73">
        <v>6</v>
      </c>
      <c r="R82" s="73">
        <v>22004909.714285716</v>
      </c>
      <c r="S82" s="73"/>
      <c r="T82" s="73"/>
      <c r="U82" s="73"/>
    </row>
    <row r="84" spans="2:21" x14ac:dyDescent="0.2">
      <c r="P84" s="41" t="s">
        <v>78</v>
      </c>
      <c r="Q84" s="41">
        <f>R81/R74</f>
        <v>63.059339217232093</v>
      </c>
    </row>
    <row r="85" spans="2:21" ht="64" x14ac:dyDescent="0.2">
      <c r="P85" s="63" t="s">
        <v>75</v>
      </c>
      <c r="Q85" s="41">
        <f>(18-4-3)/2</f>
        <v>5.5</v>
      </c>
    </row>
    <row r="86" spans="2:21" x14ac:dyDescent="0.2">
      <c r="P86" s="41" t="s">
        <v>76</v>
      </c>
      <c r="Q86" s="41">
        <f>_xlfn.F.INV.RT(0.05,Q85,Q85)</f>
        <v>5.0503290576326485</v>
      </c>
    </row>
    <row r="89" spans="2:21" x14ac:dyDescent="0.2">
      <c r="P89" s="67" t="s">
        <v>77</v>
      </c>
      <c r="Q89" s="67" t="b">
        <f>IF(Q84&lt;Q86, TRUE, FALSE)</f>
        <v>0</v>
      </c>
    </row>
    <row r="91" spans="2:21" ht="16" x14ac:dyDescent="0.2">
      <c r="P91" s="156" t="s">
        <v>93</v>
      </c>
      <c r="Q91" s="156"/>
    </row>
    <row r="93" spans="2:21" ht="16" x14ac:dyDescent="0.2">
      <c r="B93" s="155" t="s">
        <v>87</v>
      </c>
      <c r="C93" s="155"/>
    </row>
  </sheetData>
  <sortState xmlns:xlrd2="http://schemas.microsoft.com/office/spreadsheetml/2017/richdata2" ref="S49:S66">
    <sortCondition ref="S49:S66"/>
  </sortState>
  <mergeCells count="9">
    <mergeCell ref="J1:K1"/>
    <mergeCell ref="K25:L25"/>
    <mergeCell ref="K26:L26"/>
    <mergeCell ref="K24:L24"/>
    <mergeCell ref="B93:C93"/>
    <mergeCell ref="P91:Q91"/>
    <mergeCell ref="K72:N72"/>
    <mergeCell ref="AE59:AF59"/>
    <mergeCell ref="AJ31:AN3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7839D-B21A-6645-8309-51C03D9D72D1}">
  <dimension ref="A1:J101"/>
  <sheetViews>
    <sheetView zoomScale="75" workbookViewId="0">
      <selection activeCell="S56" sqref="S56"/>
    </sheetView>
  </sheetViews>
  <sheetFormatPr baseColWidth="10" defaultRowHeight="16" x14ac:dyDescent="0.2"/>
  <cols>
    <col min="1" max="1" width="18.33203125" style="82" customWidth="1"/>
    <col min="2" max="2" width="12.1640625" style="82" bestFit="1" customWidth="1"/>
    <col min="3" max="3" width="15.83203125" style="82" bestFit="1" customWidth="1"/>
    <col min="4" max="6" width="12.1640625" style="82" bestFit="1" customWidth="1"/>
    <col min="7" max="8" width="13.33203125" style="82" bestFit="1" customWidth="1"/>
    <col min="9" max="9" width="15" style="82" bestFit="1" customWidth="1"/>
    <col min="10" max="10" width="8.5" style="82" bestFit="1" customWidth="1"/>
    <col min="11" max="11" width="10.83203125" style="82"/>
    <col min="12" max="12" width="10" style="82" bestFit="1" customWidth="1"/>
    <col min="13" max="13" width="12.1640625" style="82" bestFit="1" customWidth="1"/>
    <col min="14" max="16384" width="10.83203125" style="82"/>
  </cols>
  <sheetData>
    <row r="1" spans="1:9" ht="46" thickBot="1" x14ac:dyDescent="0.25">
      <c r="A1" s="79" t="s">
        <v>107</v>
      </c>
      <c r="B1" s="80" t="s">
        <v>0</v>
      </c>
      <c r="C1" s="81" t="s">
        <v>108</v>
      </c>
      <c r="E1" s="164" t="s">
        <v>132</v>
      </c>
      <c r="F1" s="164"/>
      <c r="G1" s="164"/>
      <c r="H1" s="164"/>
      <c r="I1" s="164"/>
    </row>
    <row r="2" spans="1:9" ht="17" thickBot="1" x14ac:dyDescent="0.25">
      <c r="A2" s="83" t="s">
        <v>81</v>
      </c>
      <c r="B2" s="84"/>
      <c r="C2" s="85" t="s">
        <v>109</v>
      </c>
    </row>
    <row r="3" spans="1:9" x14ac:dyDescent="0.2">
      <c r="A3" s="86">
        <v>1</v>
      </c>
      <c r="B3" s="115">
        <v>2006</v>
      </c>
      <c r="C3" s="116">
        <v>29.3</v>
      </c>
    </row>
    <row r="4" spans="1:9" x14ac:dyDescent="0.2">
      <c r="A4" s="87">
        <v>2</v>
      </c>
      <c r="B4" s="112">
        <v>2007</v>
      </c>
      <c r="C4" s="4">
        <v>95.35</v>
      </c>
      <c r="E4" s="165" t="s">
        <v>110</v>
      </c>
      <c r="F4" s="165"/>
    </row>
    <row r="5" spans="1:9" x14ac:dyDescent="0.2">
      <c r="A5" s="87">
        <v>3</v>
      </c>
      <c r="B5" s="112">
        <v>2008</v>
      </c>
      <c r="C5" s="4">
        <v>128.31</v>
      </c>
    </row>
    <row r="6" spans="1:9" x14ac:dyDescent="0.2">
      <c r="A6" s="87">
        <v>4</v>
      </c>
      <c r="B6" s="112">
        <v>2009</v>
      </c>
      <c r="C6" s="4">
        <v>150</v>
      </c>
    </row>
    <row r="7" spans="1:9" ht="17" thickBot="1" x14ac:dyDescent="0.25">
      <c r="A7" s="89">
        <v>5</v>
      </c>
      <c r="B7" s="117">
        <v>2010</v>
      </c>
      <c r="C7" s="8">
        <v>260</v>
      </c>
    </row>
    <row r="8" spans="1:9" x14ac:dyDescent="0.2">
      <c r="A8" s="86">
        <v>6</v>
      </c>
      <c r="B8" s="115">
        <v>2011</v>
      </c>
      <c r="C8" s="116">
        <v>330</v>
      </c>
    </row>
    <row r="9" spans="1:9" x14ac:dyDescent="0.2">
      <c r="A9" s="87">
        <v>7</v>
      </c>
      <c r="B9" s="112">
        <f>B8+1</f>
        <v>2012</v>
      </c>
      <c r="C9" s="4">
        <v>405</v>
      </c>
    </row>
    <row r="10" spans="1:9" x14ac:dyDescent="0.2">
      <c r="A10" s="87">
        <v>8</v>
      </c>
      <c r="B10" s="112">
        <f t="shared" ref="B10:B20" si="0">B9+1</f>
        <v>2013</v>
      </c>
      <c r="C10" s="4">
        <v>544</v>
      </c>
    </row>
    <row r="11" spans="1:9" x14ac:dyDescent="0.2">
      <c r="A11" s="87">
        <v>9</v>
      </c>
      <c r="B11" s="112">
        <f t="shared" si="0"/>
        <v>2014</v>
      </c>
      <c r="C11" s="4">
        <v>713</v>
      </c>
    </row>
    <row r="12" spans="1:9" ht="17" thickBot="1" x14ac:dyDescent="0.25">
      <c r="A12" s="89">
        <v>10</v>
      </c>
      <c r="B12" s="117">
        <f t="shared" si="0"/>
        <v>2015</v>
      </c>
      <c r="C12" s="8">
        <v>760</v>
      </c>
    </row>
    <row r="13" spans="1:9" x14ac:dyDescent="0.2">
      <c r="A13" s="86">
        <v>11</v>
      </c>
      <c r="B13" s="115">
        <f t="shared" si="0"/>
        <v>2016</v>
      </c>
      <c r="C13" s="116">
        <v>920</v>
      </c>
    </row>
    <row r="14" spans="1:9" x14ac:dyDescent="0.2">
      <c r="A14" s="87">
        <v>12</v>
      </c>
      <c r="B14" s="112">
        <f t="shared" si="0"/>
        <v>2017</v>
      </c>
      <c r="C14" s="4">
        <v>1040</v>
      </c>
    </row>
    <row r="15" spans="1:9" x14ac:dyDescent="0.2">
      <c r="A15" s="87">
        <v>13</v>
      </c>
      <c r="B15" s="112">
        <f t="shared" si="0"/>
        <v>2018</v>
      </c>
      <c r="C15" s="4">
        <v>1657</v>
      </c>
    </row>
    <row r="16" spans="1:9" x14ac:dyDescent="0.2">
      <c r="A16" s="87">
        <v>14</v>
      </c>
      <c r="B16" s="112">
        <f t="shared" si="0"/>
        <v>2019</v>
      </c>
      <c r="C16" s="4">
        <v>2032</v>
      </c>
    </row>
    <row r="17" spans="1:7" ht="17" thickBot="1" x14ac:dyDescent="0.25">
      <c r="A17" s="89">
        <v>15</v>
      </c>
      <c r="B17" s="117">
        <f t="shared" si="0"/>
        <v>2020</v>
      </c>
      <c r="C17" s="8">
        <v>3221</v>
      </c>
    </row>
    <row r="18" spans="1:7" x14ac:dyDescent="0.2">
      <c r="A18" s="96">
        <v>16</v>
      </c>
      <c r="B18" s="113">
        <f t="shared" si="0"/>
        <v>2021</v>
      </c>
      <c r="C18" s="114">
        <v>3921</v>
      </c>
    </row>
    <row r="19" spans="1:7" x14ac:dyDescent="0.2">
      <c r="A19" s="87">
        <v>17</v>
      </c>
      <c r="B19" s="112">
        <f t="shared" si="0"/>
        <v>2022</v>
      </c>
      <c r="C19" s="4">
        <v>4986</v>
      </c>
    </row>
    <row r="20" spans="1:7" x14ac:dyDescent="0.2">
      <c r="A20" s="87">
        <v>18</v>
      </c>
      <c r="B20" s="112">
        <f t="shared" si="0"/>
        <v>2023</v>
      </c>
      <c r="C20" s="4">
        <v>6359</v>
      </c>
    </row>
    <row r="22" spans="1:7" ht="60" customHeight="1" x14ac:dyDescent="0.2">
      <c r="A22" s="91" t="s">
        <v>107</v>
      </c>
      <c r="B22" s="91" t="s">
        <v>0</v>
      </c>
      <c r="C22" s="91" t="s">
        <v>40</v>
      </c>
      <c r="D22" s="91" t="s">
        <v>133</v>
      </c>
      <c r="E22" s="91" t="s">
        <v>134</v>
      </c>
      <c r="F22" s="91" t="s">
        <v>111</v>
      </c>
      <c r="G22" s="91" t="s">
        <v>112</v>
      </c>
    </row>
    <row r="23" spans="1:7" ht="18" thickBot="1" x14ac:dyDescent="0.25">
      <c r="A23" s="92" t="s">
        <v>81</v>
      </c>
      <c r="B23" s="93"/>
      <c r="C23" s="94" t="s">
        <v>109</v>
      </c>
      <c r="D23" s="95"/>
      <c r="E23" s="95"/>
      <c r="F23" s="95"/>
      <c r="G23" s="95"/>
    </row>
    <row r="24" spans="1:7" x14ac:dyDescent="0.2">
      <c r="A24" s="86">
        <v>1</v>
      </c>
      <c r="B24" s="115">
        <v>2006</v>
      </c>
      <c r="C24" s="116">
        <v>29.3</v>
      </c>
      <c r="D24" s="86"/>
      <c r="E24" s="86"/>
      <c r="F24" s="96"/>
      <c r="G24" s="96"/>
    </row>
    <row r="25" spans="1:7" x14ac:dyDescent="0.2">
      <c r="A25" s="87">
        <v>2</v>
      </c>
      <c r="B25" s="112">
        <v>2007</v>
      </c>
      <c r="C25" s="4">
        <v>95.35</v>
      </c>
      <c r="D25" s="97">
        <f t="shared" ref="D25:D38" si="1">SUM(C24:C28)</f>
        <v>662.96</v>
      </c>
      <c r="E25" s="98">
        <f t="shared" ref="E25:E38" si="2">D25/5</f>
        <v>132.59200000000001</v>
      </c>
      <c r="F25" s="87"/>
      <c r="G25" s="87"/>
    </row>
    <row r="26" spans="1:7" x14ac:dyDescent="0.2">
      <c r="A26" s="87">
        <v>3</v>
      </c>
      <c r="B26" s="112">
        <v>2008</v>
      </c>
      <c r="C26" s="4">
        <v>128.31</v>
      </c>
      <c r="D26" s="97">
        <f t="shared" si="1"/>
        <v>963.66</v>
      </c>
      <c r="E26" s="98">
        <f t="shared" si="2"/>
        <v>192.732</v>
      </c>
      <c r="F26" s="87">
        <f t="shared" ref="F26:F38" si="3">SUM(E25:E26)/2</f>
        <v>162.66200000000001</v>
      </c>
      <c r="G26" s="87">
        <f t="shared" ref="G26:G38" si="4">E26/F26</f>
        <v>1.1848618607910881</v>
      </c>
    </row>
    <row r="27" spans="1:7" x14ac:dyDescent="0.2">
      <c r="A27" s="87">
        <v>4</v>
      </c>
      <c r="B27" s="112">
        <v>2009</v>
      </c>
      <c r="C27" s="4">
        <v>150</v>
      </c>
      <c r="D27" s="97">
        <f t="shared" si="1"/>
        <v>1273.31</v>
      </c>
      <c r="E27" s="98">
        <f t="shared" si="2"/>
        <v>254.66199999999998</v>
      </c>
      <c r="F27" s="87">
        <f t="shared" si="3"/>
        <v>223.697</v>
      </c>
      <c r="G27" s="87">
        <f t="shared" si="4"/>
        <v>1.1384238501186872</v>
      </c>
    </row>
    <row r="28" spans="1:7" ht="17" thickBot="1" x14ac:dyDescent="0.25">
      <c r="A28" s="89">
        <v>5</v>
      </c>
      <c r="B28" s="117">
        <v>2010</v>
      </c>
      <c r="C28" s="8">
        <v>260</v>
      </c>
      <c r="D28" s="99">
        <f t="shared" si="1"/>
        <v>1689</v>
      </c>
      <c r="E28" s="100">
        <f t="shared" si="2"/>
        <v>337.8</v>
      </c>
      <c r="F28" s="89">
        <f t="shared" si="3"/>
        <v>296.23099999999999</v>
      </c>
      <c r="G28" s="89">
        <f t="shared" si="4"/>
        <v>1.1403262994082322</v>
      </c>
    </row>
    <row r="29" spans="1:7" x14ac:dyDescent="0.2">
      <c r="A29" s="86">
        <v>6</v>
      </c>
      <c r="B29" s="115">
        <v>2011</v>
      </c>
      <c r="C29" s="116">
        <v>330</v>
      </c>
      <c r="D29" s="101">
        <f t="shared" si="1"/>
        <v>2252</v>
      </c>
      <c r="E29" s="102">
        <f t="shared" si="2"/>
        <v>450.4</v>
      </c>
      <c r="F29" s="96">
        <f t="shared" si="3"/>
        <v>394.1</v>
      </c>
      <c r="G29" s="96">
        <f t="shared" si="4"/>
        <v>1.1428571428571428</v>
      </c>
    </row>
    <row r="30" spans="1:7" x14ac:dyDescent="0.2">
      <c r="A30" s="87">
        <v>7</v>
      </c>
      <c r="B30" s="112">
        <f t="shared" ref="B30:B41" si="5">B29+1</f>
        <v>2012</v>
      </c>
      <c r="C30" s="4">
        <v>405</v>
      </c>
      <c r="D30" s="97">
        <f t="shared" si="1"/>
        <v>2752</v>
      </c>
      <c r="E30" s="98">
        <f t="shared" si="2"/>
        <v>550.4</v>
      </c>
      <c r="F30" s="87">
        <f t="shared" si="3"/>
        <v>500.4</v>
      </c>
      <c r="G30" s="87">
        <f t="shared" si="4"/>
        <v>1.0999200639488409</v>
      </c>
    </row>
    <row r="31" spans="1:7" x14ac:dyDescent="0.2">
      <c r="A31" s="87">
        <v>8</v>
      </c>
      <c r="B31" s="112">
        <f t="shared" si="5"/>
        <v>2013</v>
      </c>
      <c r="C31" s="4">
        <v>544</v>
      </c>
      <c r="D31" s="97">
        <f t="shared" si="1"/>
        <v>3342</v>
      </c>
      <c r="E31" s="98">
        <f t="shared" si="2"/>
        <v>668.4</v>
      </c>
      <c r="F31" s="87">
        <f t="shared" si="3"/>
        <v>609.4</v>
      </c>
      <c r="G31" s="87">
        <f t="shared" si="4"/>
        <v>1.0968165408598622</v>
      </c>
    </row>
    <row r="32" spans="1:7" x14ac:dyDescent="0.2">
      <c r="A32" s="87">
        <v>9</v>
      </c>
      <c r="B32" s="112">
        <f t="shared" si="5"/>
        <v>2014</v>
      </c>
      <c r="C32" s="4">
        <v>713</v>
      </c>
      <c r="D32" s="97">
        <f t="shared" si="1"/>
        <v>3977</v>
      </c>
      <c r="E32" s="98">
        <f t="shared" si="2"/>
        <v>795.4</v>
      </c>
      <c r="F32" s="87">
        <f t="shared" si="3"/>
        <v>731.9</v>
      </c>
      <c r="G32" s="87">
        <f t="shared" si="4"/>
        <v>1.0867604864052467</v>
      </c>
    </row>
    <row r="33" spans="1:7" ht="17" thickBot="1" x14ac:dyDescent="0.25">
      <c r="A33" s="89">
        <v>10</v>
      </c>
      <c r="B33" s="117">
        <f t="shared" si="5"/>
        <v>2015</v>
      </c>
      <c r="C33" s="8">
        <v>760</v>
      </c>
      <c r="D33" s="99">
        <f t="shared" si="1"/>
        <v>5090</v>
      </c>
      <c r="E33" s="100">
        <f t="shared" si="2"/>
        <v>1018</v>
      </c>
      <c r="F33" s="89">
        <f t="shared" si="3"/>
        <v>906.7</v>
      </c>
      <c r="G33" s="89">
        <f t="shared" si="4"/>
        <v>1.1227528399691187</v>
      </c>
    </row>
    <row r="34" spans="1:7" x14ac:dyDescent="0.2">
      <c r="A34" s="86">
        <v>11</v>
      </c>
      <c r="B34" s="115">
        <f t="shared" si="5"/>
        <v>2016</v>
      </c>
      <c r="C34" s="116">
        <v>920</v>
      </c>
      <c r="D34" s="101">
        <f t="shared" si="1"/>
        <v>6409</v>
      </c>
      <c r="E34" s="102">
        <f t="shared" si="2"/>
        <v>1281.8</v>
      </c>
      <c r="F34" s="96">
        <f t="shared" si="3"/>
        <v>1149.9000000000001</v>
      </c>
      <c r="G34" s="96">
        <f t="shared" si="4"/>
        <v>1.1147056265762239</v>
      </c>
    </row>
    <row r="35" spans="1:7" x14ac:dyDescent="0.2">
      <c r="A35" s="87">
        <v>12</v>
      </c>
      <c r="B35" s="112">
        <f t="shared" si="5"/>
        <v>2017</v>
      </c>
      <c r="C35" s="4">
        <v>1040</v>
      </c>
      <c r="D35" s="97">
        <f t="shared" si="1"/>
        <v>8870</v>
      </c>
      <c r="E35" s="98">
        <f t="shared" si="2"/>
        <v>1774</v>
      </c>
      <c r="F35" s="87">
        <f t="shared" si="3"/>
        <v>1527.9</v>
      </c>
      <c r="G35" s="87">
        <f t="shared" si="4"/>
        <v>1.16107075070358</v>
      </c>
    </row>
    <row r="36" spans="1:7" x14ac:dyDescent="0.2">
      <c r="A36" s="87">
        <v>13</v>
      </c>
      <c r="B36" s="112">
        <f t="shared" si="5"/>
        <v>2018</v>
      </c>
      <c r="C36" s="4">
        <v>1657</v>
      </c>
      <c r="D36" s="97">
        <f t="shared" si="1"/>
        <v>11871</v>
      </c>
      <c r="E36" s="98">
        <f t="shared" si="2"/>
        <v>2374.1999999999998</v>
      </c>
      <c r="F36" s="87">
        <f t="shared" si="3"/>
        <v>2074.1</v>
      </c>
      <c r="G36" s="87">
        <f t="shared" si="4"/>
        <v>1.1446892628127863</v>
      </c>
    </row>
    <row r="37" spans="1:7" x14ac:dyDescent="0.2">
      <c r="A37" s="87">
        <v>14</v>
      </c>
      <c r="B37" s="112">
        <f t="shared" si="5"/>
        <v>2019</v>
      </c>
      <c r="C37" s="4">
        <v>2032</v>
      </c>
      <c r="D37" s="97">
        <f t="shared" si="1"/>
        <v>15817</v>
      </c>
      <c r="E37" s="98">
        <f t="shared" si="2"/>
        <v>3163.4</v>
      </c>
      <c r="F37" s="87">
        <f t="shared" si="3"/>
        <v>2768.8</v>
      </c>
      <c r="G37" s="87">
        <f t="shared" si="4"/>
        <v>1.1425166136954636</v>
      </c>
    </row>
    <row r="38" spans="1:7" ht="17" thickBot="1" x14ac:dyDescent="0.25">
      <c r="A38" s="89">
        <v>15</v>
      </c>
      <c r="B38" s="117">
        <f t="shared" si="5"/>
        <v>2020</v>
      </c>
      <c r="C38" s="8">
        <v>3221</v>
      </c>
      <c r="D38" s="99">
        <f t="shared" si="1"/>
        <v>20519</v>
      </c>
      <c r="E38" s="100">
        <f t="shared" si="2"/>
        <v>4103.8</v>
      </c>
      <c r="F38" s="89">
        <f t="shared" si="3"/>
        <v>3633.6000000000004</v>
      </c>
      <c r="G38" s="89">
        <f t="shared" si="4"/>
        <v>1.1294033465433728</v>
      </c>
    </row>
    <row r="39" spans="1:7" x14ac:dyDescent="0.2">
      <c r="A39" s="96">
        <v>16</v>
      </c>
      <c r="B39" s="113">
        <f t="shared" si="5"/>
        <v>2021</v>
      </c>
      <c r="C39" s="114">
        <v>3921</v>
      </c>
      <c r="D39" s="101" t="s">
        <v>113</v>
      </c>
      <c r="E39" s="97" t="s">
        <v>113</v>
      </c>
      <c r="F39" s="97" t="s">
        <v>113</v>
      </c>
      <c r="G39" s="97" t="s">
        <v>113</v>
      </c>
    </row>
    <row r="40" spans="1:7" x14ac:dyDescent="0.2">
      <c r="A40" s="87">
        <v>17</v>
      </c>
      <c r="B40" s="112">
        <f t="shared" si="5"/>
        <v>2022</v>
      </c>
      <c r="C40" s="4">
        <v>4986</v>
      </c>
      <c r="D40" s="97" t="s">
        <v>113</v>
      </c>
      <c r="E40" s="97" t="s">
        <v>113</v>
      </c>
      <c r="F40" s="97" t="s">
        <v>113</v>
      </c>
      <c r="G40" s="97" t="s">
        <v>113</v>
      </c>
    </row>
    <row r="41" spans="1:7" x14ac:dyDescent="0.2">
      <c r="A41" s="87">
        <v>18</v>
      </c>
      <c r="B41" s="112">
        <f t="shared" si="5"/>
        <v>2023</v>
      </c>
      <c r="C41" s="4">
        <v>6359</v>
      </c>
      <c r="D41" s="97" t="s">
        <v>113</v>
      </c>
      <c r="E41" s="97" t="s">
        <v>113</v>
      </c>
      <c r="F41" s="97" t="s">
        <v>113</v>
      </c>
      <c r="G41" s="97" t="s">
        <v>113</v>
      </c>
    </row>
    <row r="45" spans="1:7" x14ac:dyDescent="0.2">
      <c r="A45" s="161" t="s">
        <v>114</v>
      </c>
      <c r="B45" s="161" t="s">
        <v>0</v>
      </c>
      <c r="C45" s="162" t="s">
        <v>115</v>
      </c>
      <c r="D45" s="163"/>
      <c r="E45" s="163"/>
      <c r="F45" s="163"/>
      <c r="G45" s="163"/>
    </row>
    <row r="46" spans="1:7" x14ac:dyDescent="0.2">
      <c r="A46" s="161"/>
      <c r="B46" s="161"/>
      <c r="C46" s="103">
        <v>1</v>
      </c>
      <c r="D46" s="103">
        <v>2</v>
      </c>
      <c r="E46" s="103">
        <v>3</v>
      </c>
      <c r="F46" s="103">
        <v>4</v>
      </c>
      <c r="G46" s="103">
        <v>5</v>
      </c>
    </row>
    <row r="47" spans="1:7" ht="17" x14ac:dyDescent="0.2">
      <c r="A47" s="161" t="s">
        <v>112</v>
      </c>
      <c r="B47" s="104">
        <v>1</v>
      </c>
      <c r="C47" s="104" t="s">
        <v>113</v>
      </c>
      <c r="D47" s="104" t="s">
        <v>113</v>
      </c>
      <c r="E47" s="104">
        <f>G26</f>
        <v>1.1848618607910881</v>
      </c>
      <c r="F47" s="104">
        <f>G27</f>
        <v>1.1384238501186872</v>
      </c>
      <c r="G47" s="104">
        <f>G28</f>
        <v>1.1403262994082322</v>
      </c>
    </row>
    <row r="48" spans="1:7" x14ac:dyDescent="0.2">
      <c r="A48" s="161"/>
      <c r="B48" s="104">
        <v>2</v>
      </c>
      <c r="C48" s="104">
        <f>G29</f>
        <v>1.1428571428571428</v>
      </c>
      <c r="D48" s="104">
        <f>G30</f>
        <v>1.0999200639488409</v>
      </c>
      <c r="E48" s="104">
        <f>G31</f>
        <v>1.0968165408598622</v>
      </c>
      <c r="F48" s="104">
        <f>G32</f>
        <v>1.0867604864052467</v>
      </c>
      <c r="G48" s="104">
        <f>G33</f>
        <v>1.1227528399691187</v>
      </c>
    </row>
    <row r="49" spans="1:10" x14ac:dyDescent="0.2">
      <c r="A49" s="161"/>
      <c r="B49" s="104">
        <v>3</v>
      </c>
      <c r="C49" s="104">
        <f>G34</f>
        <v>1.1147056265762239</v>
      </c>
      <c r="D49" s="104">
        <f>G35</f>
        <v>1.16107075070358</v>
      </c>
      <c r="E49" s="104">
        <f>G36</f>
        <v>1.1446892628127863</v>
      </c>
      <c r="F49" s="104">
        <f>G37</f>
        <v>1.1425166136954636</v>
      </c>
      <c r="G49" s="104">
        <f>G38</f>
        <v>1.1294033465433728</v>
      </c>
    </row>
    <row r="50" spans="1:10" ht="17" x14ac:dyDescent="0.2">
      <c r="A50" s="161"/>
      <c r="B50" s="104">
        <v>4</v>
      </c>
      <c r="C50" s="104" t="s">
        <v>113</v>
      </c>
      <c r="D50" s="104" t="s">
        <v>113</v>
      </c>
      <c r="E50" s="104" t="s">
        <v>113</v>
      </c>
      <c r="F50" s="104" t="s">
        <v>113</v>
      </c>
      <c r="G50" s="104" t="s">
        <v>113</v>
      </c>
    </row>
    <row r="51" spans="1:10" ht="34" x14ac:dyDescent="0.2">
      <c r="A51" s="103" t="s">
        <v>25</v>
      </c>
      <c r="B51" s="104"/>
      <c r="C51" s="104">
        <f>SUM(C47:C50)</f>
        <v>2.2575627694333669</v>
      </c>
      <c r="D51" s="104">
        <f>SUM(D47:D50)</f>
        <v>2.2609908146524207</v>
      </c>
      <c r="E51" s="104">
        <f>SUM(E47:E50)</f>
        <v>3.4263676644637364</v>
      </c>
      <c r="F51" s="104">
        <f>SUM(F47:F50)</f>
        <v>3.3677009502193975</v>
      </c>
      <c r="G51" s="104">
        <f>SUM(G47:G50)</f>
        <v>3.3924824859207234</v>
      </c>
      <c r="I51" s="105" t="s">
        <v>116</v>
      </c>
      <c r="J51" s="87">
        <f>4/SUM(C52:G52)</f>
        <v>0.70736442801988242</v>
      </c>
    </row>
    <row r="52" spans="1:10" ht="51" x14ac:dyDescent="0.2">
      <c r="A52" s="105" t="s">
        <v>117</v>
      </c>
      <c r="B52" s="87"/>
      <c r="C52" s="106">
        <f>AVERAGE(C47:C50)</f>
        <v>1.1287813847166834</v>
      </c>
      <c r="D52" s="106">
        <f>AVERAGE(D47:D50)</f>
        <v>1.1304954073262103</v>
      </c>
      <c r="E52" s="106">
        <f>AVERAGE(E47:E50)</f>
        <v>1.1421225548212455</v>
      </c>
      <c r="F52" s="106">
        <f>AVERAGE(F47:F50)</f>
        <v>1.1225669834064658</v>
      </c>
      <c r="G52" s="106">
        <f>AVERAGE(G47:G50)</f>
        <v>1.1308274953069077</v>
      </c>
    </row>
    <row r="53" spans="1:10" ht="68" x14ac:dyDescent="0.2">
      <c r="A53" s="105" t="s">
        <v>118</v>
      </c>
      <c r="B53" s="87"/>
      <c r="C53" s="106">
        <f>C52*$J$51</f>
        <v>0.79845979855960758</v>
      </c>
      <c r="D53" s="106">
        <f>D52*$J$51</f>
        <v>0.79967223718240876</v>
      </c>
      <c r="E53" s="106">
        <f>E52*$J$51</f>
        <v>0.80789686771973712</v>
      </c>
      <c r="F53" s="106">
        <f>F52*$J$51</f>
        <v>0.79406395213131953</v>
      </c>
      <c r="G53" s="106">
        <f>G52*$J$51</f>
        <v>0.79990714440692701</v>
      </c>
    </row>
    <row r="55" spans="1:10" ht="76" thickBot="1" x14ac:dyDescent="0.25">
      <c r="A55" s="107" t="s">
        <v>81</v>
      </c>
      <c r="B55" s="108" t="s">
        <v>109</v>
      </c>
      <c r="C55" s="108" t="s">
        <v>119</v>
      </c>
      <c r="D55" s="109" t="s">
        <v>120</v>
      </c>
      <c r="E55" s="109" t="s">
        <v>136</v>
      </c>
      <c r="F55" s="109" t="s">
        <v>135</v>
      </c>
      <c r="G55" s="109" t="s">
        <v>121</v>
      </c>
      <c r="H55" s="109" t="s">
        <v>122</v>
      </c>
      <c r="I55" s="109" t="s">
        <v>123</v>
      </c>
    </row>
    <row r="56" spans="1:10" x14ac:dyDescent="0.2">
      <c r="A56" s="86">
        <v>1</v>
      </c>
      <c r="B56" s="116">
        <v>29.3</v>
      </c>
      <c r="C56" s="122">
        <f>C53</f>
        <v>0.79845979855960758</v>
      </c>
      <c r="D56" s="88">
        <f t="shared" ref="D56:D73" si="6">B56/C56</f>
        <v>36.69564836308119</v>
      </c>
      <c r="E56" s="88">
        <f t="shared" ref="E56:E73" si="7">377.65*A56-1677.9</f>
        <v>-1300.25</v>
      </c>
      <c r="F56" s="88">
        <f t="shared" ref="F56:F73" si="8">E56+C56</f>
        <v>-1299.4515402014404</v>
      </c>
      <c r="G56" s="123">
        <f t="shared" ref="G56:G73" si="9">(B56-D56)^2</f>
        <v>54.695614710345481</v>
      </c>
      <c r="H56" s="123">
        <f t="shared" ref="H56:H73" si="10">D56*C56</f>
        <v>29.3</v>
      </c>
      <c r="I56" s="123">
        <f t="shared" ref="I56:I73" si="11">(D56-(H56))^2</f>
        <v>54.695614710345481</v>
      </c>
    </row>
    <row r="57" spans="1:10" x14ac:dyDescent="0.2">
      <c r="A57" s="87">
        <v>2</v>
      </c>
      <c r="B57" s="118">
        <v>95.35</v>
      </c>
      <c r="C57" s="88">
        <f>D53</f>
        <v>0.79967223718240876</v>
      </c>
      <c r="D57" s="88">
        <f t="shared" si="6"/>
        <v>119.23635155318046</v>
      </c>
      <c r="E57" s="88">
        <f t="shared" si="7"/>
        <v>-922.60000000000014</v>
      </c>
      <c r="F57" s="88">
        <f t="shared" si="8"/>
        <v>-921.80032776281769</v>
      </c>
      <c r="G57" s="88">
        <f t="shared" si="9"/>
        <v>570.55779052212665</v>
      </c>
      <c r="H57" s="88">
        <f t="shared" si="10"/>
        <v>95.35</v>
      </c>
      <c r="I57" s="88">
        <f t="shared" si="11"/>
        <v>570.55779052212665</v>
      </c>
    </row>
    <row r="58" spans="1:10" x14ac:dyDescent="0.2">
      <c r="A58" s="87">
        <v>3</v>
      </c>
      <c r="B58" s="118">
        <v>128.31</v>
      </c>
      <c r="C58" s="88">
        <f>E53</f>
        <v>0.80789686771973712</v>
      </c>
      <c r="D58" s="88">
        <f t="shared" si="6"/>
        <v>158.81977654171484</v>
      </c>
      <c r="E58" s="88">
        <f t="shared" si="7"/>
        <v>-544.95000000000027</v>
      </c>
      <c r="F58" s="88">
        <f t="shared" si="8"/>
        <v>-544.14210313228057</v>
      </c>
      <c r="G58" s="88">
        <f t="shared" si="9"/>
        <v>930.8464646253733</v>
      </c>
      <c r="H58" s="88">
        <f t="shared" si="10"/>
        <v>128.31</v>
      </c>
      <c r="I58" s="88">
        <f t="shared" si="11"/>
        <v>930.8464646253733</v>
      </c>
    </row>
    <row r="59" spans="1:10" x14ac:dyDescent="0.2">
      <c r="A59" s="87">
        <v>4</v>
      </c>
      <c r="B59" s="118">
        <v>150</v>
      </c>
      <c r="C59" s="88">
        <f>F53</f>
        <v>0.79406395213131953</v>
      </c>
      <c r="D59" s="88">
        <f t="shared" si="6"/>
        <v>188.90166163240403</v>
      </c>
      <c r="E59" s="88">
        <f t="shared" si="7"/>
        <v>-167.30000000000018</v>
      </c>
      <c r="F59" s="88">
        <f t="shared" si="8"/>
        <v>-166.50593604786886</v>
      </c>
      <c r="G59" s="88">
        <f t="shared" si="9"/>
        <v>1513.3392777620556</v>
      </c>
      <c r="H59" s="88">
        <f t="shared" si="10"/>
        <v>150</v>
      </c>
      <c r="I59" s="88">
        <f t="shared" si="11"/>
        <v>1513.3392777620556</v>
      </c>
    </row>
    <row r="60" spans="1:10" ht="17" thickBot="1" x14ac:dyDescent="0.25">
      <c r="A60" s="89">
        <v>5</v>
      </c>
      <c r="B60" s="119">
        <v>260</v>
      </c>
      <c r="C60" s="90">
        <f>G53</f>
        <v>0.79990714440692701</v>
      </c>
      <c r="D60" s="90">
        <f t="shared" si="6"/>
        <v>325.03772696363541</v>
      </c>
      <c r="E60" s="90">
        <f t="shared" si="7"/>
        <v>210.34999999999991</v>
      </c>
      <c r="F60" s="90">
        <f t="shared" si="8"/>
        <v>211.14990714440682</v>
      </c>
      <c r="G60" s="90">
        <f t="shared" si="9"/>
        <v>4229.9059285963876</v>
      </c>
      <c r="H60" s="90">
        <f t="shared" si="10"/>
        <v>260</v>
      </c>
      <c r="I60" s="90">
        <f t="shared" si="11"/>
        <v>4229.9059285963876</v>
      </c>
    </row>
    <row r="61" spans="1:10" x14ac:dyDescent="0.2">
      <c r="A61" s="86">
        <v>6</v>
      </c>
      <c r="B61" s="120">
        <v>330</v>
      </c>
      <c r="C61" s="110">
        <v>0.79845979855960758</v>
      </c>
      <c r="D61" s="110">
        <f t="shared" si="6"/>
        <v>413.29569828726255</v>
      </c>
      <c r="E61" s="110">
        <f t="shared" si="7"/>
        <v>587.99999999999955</v>
      </c>
      <c r="F61" s="110">
        <f t="shared" si="8"/>
        <v>588.79845979855918</v>
      </c>
      <c r="G61" s="110">
        <f t="shared" si="9"/>
        <v>6938.1733531626742</v>
      </c>
      <c r="H61" s="110">
        <f t="shared" si="10"/>
        <v>330</v>
      </c>
      <c r="I61" s="110">
        <f t="shared" si="11"/>
        <v>6938.1733531626742</v>
      </c>
    </row>
    <row r="62" spans="1:10" x14ac:dyDescent="0.2">
      <c r="A62" s="87">
        <v>7</v>
      </c>
      <c r="B62" s="118">
        <v>405</v>
      </c>
      <c r="C62" s="88">
        <v>0.79967223718240876</v>
      </c>
      <c r="D62" s="88">
        <f t="shared" si="6"/>
        <v>506.45749742043091</v>
      </c>
      <c r="E62" s="88">
        <f t="shared" si="7"/>
        <v>965.64999999999964</v>
      </c>
      <c r="F62" s="88">
        <f t="shared" si="8"/>
        <v>966.44967223718209</v>
      </c>
      <c r="G62" s="88">
        <f t="shared" si="9"/>
        <v>10293.623782816745</v>
      </c>
      <c r="H62" s="88">
        <f t="shared" si="10"/>
        <v>405</v>
      </c>
      <c r="I62" s="88">
        <f t="shared" si="11"/>
        <v>10293.623782816745</v>
      </c>
    </row>
    <row r="63" spans="1:10" x14ac:dyDescent="0.2">
      <c r="A63" s="87">
        <v>8</v>
      </c>
      <c r="B63" s="118">
        <v>544</v>
      </c>
      <c r="C63" s="88">
        <v>0.80789686771973712</v>
      </c>
      <c r="D63" s="88">
        <f t="shared" si="6"/>
        <v>673.35327284461755</v>
      </c>
      <c r="E63" s="88">
        <f t="shared" si="7"/>
        <v>1343.2999999999997</v>
      </c>
      <c r="F63" s="88">
        <f t="shared" si="8"/>
        <v>1344.1078968677195</v>
      </c>
      <c r="G63" s="88">
        <f t="shared" si="9"/>
        <v>16732.269195614073</v>
      </c>
      <c r="H63" s="88">
        <f t="shared" si="10"/>
        <v>544</v>
      </c>
      <c r="I63" s="88">
        <f t="shared" si="11"/>
        <v>16732.269195614073</v>
      </c>
    </row>
    <row r="64" spans="1:10" x14ac:dyDescent="0.2">
      <c r="A64" s="87">
        <v>9</v>
      </c>
      <c r="B64" s="118">
        <v>713</v>
      </c>
      <c r="C64" s="88">
        <v>0.79406395213131953</v>
      </c>
      <c r="D64" s="88">
        <f t="shared" si="6"/>
        <v>897.91256495936057</v>
      </c>
      <c r="E64" s="88">
        <f t="shared" si="7"/>
        <v>1720.9499999999998</v>
      </c>
      <c r="F64" s="88">
        <f t="shared" si="8"/>
        <v>1721.7440639521312</v>
      </c>
      <c r="G64" s="88">
        <f t="shared" si="9"/>
        <v>34192.656679849744</v>
      </c>
      <c r="H64" s="88">
        <f t="shared" si="10"/>
        <v>713</v>
      </c>
      <c r="I64" s="88">
        <f t="shared" si="11"/>
        <v>34192.656679849744</v>
      </c>
    </row>
    <row r="65" spans="1:9" ht="17" thickBot="1" x14ac:dyDescent="0.25">
      <c r="A65" s="89">
        <v>10</v>
      </c>
      <c r="B65" s="119">
        <v>760</v>
      </c>
      <c r="C65" s="90">
        <v>0.79990714440692701</v>
      </c>
      <c r="D65" s="90">
        <f t="shared" si="6"/>
        <v>950.11027881678035</v>
      </c>
      <c r="E65" s="90">
        <f t="shared" si="7"/>
        <v>2098.6</v>
      </c>
      <c r="F65" s="90">
        <f t="shared" si="8"/>
        <v>2099.3999071444068</v>
      </c>
      <c r="G65" s="90">
        <f t="shared" si="9"/>
        <v>36141.918111793966</v>
      </c>
      <c r="H65" s="90">
        <f t="shared" si="10"/>
        <v>760</v>
      </c>
      <c r="I65" s="90">
        <f t="shared" si="11"/>
        <v>36141.918111793966</v>
      </c>
    </row>
    <row r="66" spans="1:9" x14ac:dyDescent="0.2">
      <c r="A66" s="86">
        <v>11</v>
      </c>
      <c r="B66" s="120">
        <v>920</v>
      </c>
      <c r="C66" s="110">
        <v>0.79845979855960758</v>
      </c>
      <c r="D66" s="110">
        <f t="shared" si="6"/>
        <v>1152.2183103766108</v>
      </c>
      <c r="E66" s="110">
        <f t="shared" si="7"/>
        <v>2476.2499999999995</v>
      </c>
      <c r="F66" s="110">
        <f t="shared" si="8"/>
        <v>2477.0484597985592</v>
      </c>
      <c r="G66" s="110">
        <f t="shared" si="9"/>
        <v>53925.343674167954</v>
      </c>
      <c r="H66" s="110">
        <f t="shared" si="10"/>
        <v>920.00000000000011</v>
      </c>
      <c r="I66" s="110">
        <f t="shared" si="11"/>
        <v>53925.343674167903</v>
      </c>
    </row>
    <row r="67" spans="1:9" x14ac:dyDescent="0.2">
      <c r="A67" s="87">
        <v>12</v>
      </c>
      <c r="B67" s="118">
        <v>1040</v>
      </c>
      <c r="C67" s="88">
        <v>0.79967223718240876</v>
      </c>
      <c r="D67" s="88">
        <f t="shared" si="6"/>
        <v>1300.5328328820942</v>
      </c>
      <c r="E67" s="88">
        <f t="shared" si="7"/>
        <v>2853.8999999999992</v>
      </c>
      <c r="F67" s="88">
        <f t="shared" si="8"/>
        <v>2854.6996722371814</v>
      </c>
      <c r="G67" s="88">
        <f t="shared" si="9"/>
        <v>67877.357009569241</v>
      </c>
      <c r="H67" s="88">
        <f t="shared" si="10"/>
        <v>1040</v>
      </c>
      <c r="I67" s="88">
        <f t="shared" si="11"/>
        <v>67877.357009569241</v>
      </c>
    </row>
    <row r="68" spans="1:9" x14ac:dyDescent="0.2">
      <c r="A68" s="87">
        <v>13</v>
      </c>
      <c r="B68" s="118">
        <v>1657</v>
      </c>
      <c r="C68" s="88">
        <v>0.80789686771973712</v>
      </c>
      <c r="D68" s="88">
        <f t="shared" si="6"/>
        <v>2051.0043623226675</v>
      </c>
      <c r="E68" s="88">
        <f t="shared" si="7"/>
        <v>3231.5499999999997</v>
      </c>
      <c r="F68" s="88">
        <f t="shared" si="8"/>
        <v>3232.3578968677193</v>
      </c>
      <c r="G68" s="88">
        <f t="shared" si="9"/>
        <v>155239.43752929184</v>
      </c>
      <c r="H68" s="88">
        <f t="shared" si="10"/>
        <v>1656.9999999999998</v>
      </c>
      <c r="I68" s="88">
        <f t="shared" si="11"/>
        <v>155239.43752929202</v>
      </c>
    </row>
    <row r="69" spans="1:9" x14ac:dyDescent="0.2">
      <c r="A69" s="87">
        <v>14</v>
      </c>
      <c r="B69" s="118">
        <v>2032</v>
      </c>
      <c r="C69" s="88">
        <v>0.79406395213131953</v>
      </c>
      <c r="D69" s="88">
        <f t="shared" si="6"/>
        <v>2558.9878429136334</v>
      </c>
      <c r="E69" s="88">
        <f t="shared" si="7"/>
        <v>3609.1999999999994</v>
      </c>
      <c r="F69" s="88">
        <f t="shared" si="8"/>
        <v>3609.9940639521305</v>
      </c>
      <c r="G69" s="88">
        <f t="shared" si="9"/>
        <v>277716.18657876429</v>
      </c>
      <c r="H69" s="88">
        <f t="shared" si="10"/>
        <v>2032</v>
      </c>
      <c r="I69" s="88">
        <f t="shared" si="11"/>
        <v>277716.18657876429</v>
      </c>
    </row>
    <row r="70" spans="1:9" ht="17" thickBot="1" x14ac:dyDescent="0.25">
      <c r="A70" s="89">
        <v>15</v>
      </c>
      <c r="B70" s="119">
        <v>3221</v>
      </c>
      <c r="C70" s="90">
        <v>0.79990714440692701</v>
      </c>
      <c r="D70" s="90">
        <f t="shared" si="6"/>
        <v>4026.7173790379597</v>
      </c>
      <c r="E70" s="90">
        <f t="shared" si="7"/>
        <v>3986.85</v>
      </c>
      <c r="F70" s="90">
        <f t="shared" si="8"/>
        <v>3987.6499071444068</v>
      </c>
      <c r="G70" s="90">
        <f t="shared" si="9"/>
        <v>649180.49488379934</v>
      </c>
      <c r="H70" s="90">
        <f t="shared" si="10"/>
        <v>3221</v>
      </c>
      <c r="I70" s="90">
        <f t="shared" si="11"/>
        <v>649180.49488379934</v>
      </c>
    </row>
    <row r="71" spans="1:9" x14ac:dyDescent="0.2">
      <c r="A71" s="96">
        <v>16</v>
      </c>
      <c r="B71" s="121">
        <v>3921</v>
      </c>
      <c r="C71" s="110">
        <v>0.79845979855960758</v>
      </c>
      <c r="D71" s="110">
        <f t="shared" si="6"/>
        <v>4910.7043423768373</v>
      </c>
      <c r="E71" s="110">
        <f t="shared" si="7"/>
        <v>4364.5</v>
      </c>
      <c r="F71" s="110">
        <f t="shared" si="8"/>
        <v>4365.2984597985596</v>
      </c>
      <c r="G71" s="110">
        <f t="shared" si="9"/>
        <v>979514.68531956803</v>
      </c>
      <c r="H71" s="110">
        <f t="shared" si="10"/>
        <v>3920.9999999999995</v>
      </c>
      <c r="I71" s="110">
        <f t="shared" si="11"/>
        <v>979514.68531956885</v>
      </c>
    </row>
    <row r="72" spans="1:9" x14ac:dyDescent="0.2">
      <c r="A72" s="87">
        <v>17</v>
      </c>
      <c r="B72" s="118">
        <v>4986</v>
      </c>
      <c r="C72" s="88">
        <v>0.79967223718240876</v>
      </c>
      <c r="D72" s="88">
        <f t="shared" si="6"/>
        <v>6235.0545237981942</v>
      </c>
      <c r="E72" s="88">
        <f t="shared" si="7"/>
        <v>4742.1499999999996</v>
      </c>
      <c r="F72" s="88">
        <f t="shared" si="8"/>
        <v>4742.9496722371823</v>
      </c>
      <c r="G72" s="88">
        <f t="shared" si="9"/>
        <v>1560137.2034207336</v>
      </c>
      <c r="H72" s="88">
        <f t="shared" si="10"/>
        <v>4986</v>
      </c>
      <c r="I72" s="88">
        <f t="shared" si="11"/>
        <v>1560137.2034207336</v>
      </c>
    </row>
    <row r="73" spans="1:9" x14ac:dyDescent="0.2">
      <c r="A73" s="87">
        <v>18</v>
      </c>
      <c r="B73" s="118">
        <v>6359</v>
      </c>
      <c r="C73" s="88">
        <v>0.80789686771973712</v>
      </c>
      <c r="D73" s="88">
        <f t="shared" si="6"/>
        <v>7871.05415812302</v>
      </c>
      <c r="E73" s="88">
        <f t="shared" si="7"/>
        <v>5119.7999999999993</v>
      </c>
      <c r="F73" s="88">
        <f t="shared" si="8"/>
        <v>5120.6078968677193</v>
      </c>
      <c r="G73" s="88">
        <f t="shared" si="9"/>
        <v>2286307.7770971148</v>
      </c>
      <c r="H73" s="88">
        <f t="shared" si="10"/>
        <v>6359</v>
      </c>
      <c r="I73" s="88">
        <f t="shared" si="11"/>
        <v>2286307.7770971148</v>
      </c>
    </row>
    <row r="75" spans="1:9" ht="34" x14ac:dyDescent="0.2">
      <c r="A75" s="105" t="s">
        <v>124</v>
      </c>
      <c r="B75" s="87">
        <f>SUM(C56:C73)/(18-1)</f>
        <v>0.84741346490951475</v>
      </c>
    </row>
    <row r="76" spans="1:9" ht="34" x14ac:dyDescent="0.2">
      <c r="A76" s="105" t="s">
        <v>125</v>
      </c>
      <c r="B76" s="87">
        <f>SQRT(SUM(E56:E73)/(18-1))</f>
        <v>44.967929748681478</v>
      </c>
    </row>
    <row r="77" spans="1:9" ht="34" x14ac:dyDescent="0.2">
      <c r="A77" s="105" t="s">
        <v>126</v>
      </c>
      <c r="B77" s="124">
        <f>B76/AVERAGE(D56:D67)</f>
        <v>8.0269157018324377E-2</v>
      </c>
    </row>
    <row r="78" spans="1:9" ht="51" x14ac:dyDescent="0.2">
      <c r="A78" s="105" t="s">
        <v>127</v>
      </c>
      <c r="B78" s="87">
        <f>SQRT(SUM(I56:I73)/(18-1))/AVERAGE(D56:D73)</f>
        <v>0.3147230972866541</v>
      </c>
    </row>
    <row r="79" spans="1:9" ht="17" x14ac:dyDescent="0.2">
      <c r="A79" s="105" t="s">
        <v>137</v>
      </c>
      <c r="B79" s="125">
        <f>1-B77</f>
        <v>0.91973084298167562</v>
      </c>
    </row>
    <row r="80" spans="1:9" ht="51" x14ac:dyDescent="0.2">
      <c r="A80" s="105" t="s">
        <v>138</v>
      </c>
      <c r="B80" s="87">
        <f>1-(6*F101/(18^3-18))</f>
        <v>1</v>
      </c>
    </row>
    <row r="82" spans="1:6" ht="90" x14ac:dyDescent="0.2">
      <c r="A82" s="111" t="s">
        <v>81</v>
      </c>
      <c r="B82" s="109" t="s">
        <v>109</v>
      </c>
      <c r="C82" s="109" t="s">
        <v>128</v>
      </c>
      <c r="D82" s="109" t="s">
        <v>129</v>
      </c>
      <c r="E82" s="109" t="s">
        <v>130</v>
      </c>
      <c r="F82" s="109" t="s">
        <v>131</v>
      </c>
    </row>
    <row r="83" spans="1:6" x14ac:dyDescent="0.2">
      <c r="A83" s="87">
        <v>1</v>
      </c>
      <c r="B83" s="4">
        <v>29.3</v>
      </c>
      <c r="C83" s="87">
        <f t="shared" ref="C83:C93" si="12">RANK(B83, $B$83:$B$94,1)</f>
        <v>1</v>
      </c>
      <c r="D83" s="87">
        <f t="shared" ref="D83:D100" si="13">RANK(A83, $A$83:$A$100,1)</f>
        <v>1</v>
      </c>
      <c r="E83" s="88">
        <f t="shared" ref="E83:E100" si="14">C83-D83</f>
        <v>0</v>
      </c>
      <c r="F83" s="88">
        <f t="shared" ref="F83:F100" si="15">E83^2</f>
        <v>0</v>
      </c>
    </row>
    <row r="84" spans="1:6" x14ac:dyDescent="0.2">
      <c r="A84" s="87">
        <v>2</v>
      </c>
      <c r="B84" s="4">
        <v>95.35</v>
      </c>
      <c r="C84" s="87">
        <f t="shared" si="12"/>
        <v>2</v>
      </c>
      <c r="D84" s="87">
        <f t="shared" si="13"/>
        <v>2</v>
      </c>
      <c r="E84" s="88">
        <f t="shared" si="14"/>
        <v>0</v>
      </c>
      <c r="F84" s="88">
        <f t="shared" si="15"/>
        <v>0</v>
      </c>
    </row>
    <row r="85" spans="1:6" x14ac:dyDescent="0.2">
      <c r="A85" s="87">
        <v>3</v>
      </c>
      <c r="B85" s="4">
        <v>128.31</v>
      </c>
      <c r="C85" s="87">
        <f t="shared" si="12"/>
        <v>3</v>
      </c>
      <c r="D85" s="87">
        <f t="shared" si="13"/>
        <v>3</v>
      </c>
      <c r="E85" s="88">
        <f t="shared" si="14"/>
        <v>0</v>
      </c>
      <c r="F85" s="88">
        <f t="shared" si="15"/>
        <v>0</v>
      </c>
    </row>
    <row r="86" spans="1:6" x14ac:dyDescent="0.2">
      <c r="A86" s="87">
        <v>4</v>
      </c>
      <c r="B86" s="4">
        <v>150</v>
      </c>
      <c r="C86" s="87">
        <f t="shared" si="12"/>
        <v>4</v>
      </c>
      <c r="D86" s="87">
        <f t="shared" si="13"/>
        <v>4</v>
      </c>
      <c r="E86" s="88">
        <f t="shared" si="14"/>
        <v>0</v>
      </c>
      <c r="F86" s="88">
        <f t="shared" si="15"/>
        <v>0</v>
      </c>
    </row>
    <row r="87" spans="1:6" x14ac:dyDescent="0.2">
      <c r="A87" s="87">
        <v>5</v>
      </c>
      <c r="B87" s="4">
        <v>260</v>
      </c>
      <c r="C87" s="87">
        <f t="shared" si="12"/>
        <v>5</v>
      </c>
      <c r="D87" s="87">
        <f t="shared" si="13"/>
        <v>5</v>
      </c>
      <c r="E87" s="88">
        <f t="shared" si="14"/>
        <v>0</v>
      </c>
      <c r="F87" s="88">
        <f t="shared" si="15"/>
        <v>0</v>
      </c>
    </row>
    <row r="88" spans="1:6" x14ac:dyDescent="0.2">
      <c r="A88" s="87">
        <v>6</v>
      </c>
      <c r="B88" s="4">
        <v>330</v>
      </c>
      <c r="C88" s="87">
        <f t="shared" si="12"/>
        <v>6</v>
      </c>
      <c r="D88" s="87">
        <f t="shared" si="13"/>
        <v>6</v>
      </c>
      <c r="E88" s="88">
        <f t="shared" si="14"/>
        <v>0</v>
      </c>
      <c r="F88" s="88">
        <f t="shared" si="15"/>
        <v>0</v>
      </c>
    </row>
    <row r="89" spans="1:6" x14ac:dyDescent="0.2">
      <c r="A89" s="87">
        <v>7</v>
      </c>
      <c r="B89" s="4">
        <v>405</v>
      </c>
      <c r="C89" s="87">
        <f t="shared" si="12"/>
        <v>7</v>
      </c>
      <c r="D89" s="87">
        <f t="shared" si="13"/>
        <v>7</v>
      </c>
      <c r="E89" s="88">
        <f t="shared" si="14"/>
        <v>0</v>
      </c>
      <c r="F89" s="88">
        <f t="shared" si="15"/>
        <v>0</v>
      </c>
    </row>
    <row r="90" spans="1:6" x14ac:dyDescent="0.2">
      <c r="A90" s="87">
        <v>8</v>
      </c>
      <c r="B90" s="4">
        <v>544</v>
      </c>
      <c r="C90" s="87">
        <f t="shared" si="12"/>
        <v>8</v>
      </c>
      <c r="D90" s="87">
        <f t="shared" si="13"/>
        <v>8</v>
      </c>
      <c r="E90" s="88">
        <f t="shared" si="14"/>
        <v>0</v>
      </c>
      <c r="F90" s="88">
        <f t="shared" si="15"/>
        <v>0</v>
      </c>
    </row>
    <row r="91" spans="1:6" x14ac:dyDescent="0.2">
      <c r="A91" s="87">
        <v>9</v>
      </c>
      <c r="B91" s="4">
        <v>713</v>
      </c>
      <c r="C91" s="87">
        <f t="shared" si="12"/>
        <v>9</v>
      </c>
      <c r="D91" s="87">
        <f t="shared" si="13"/>
        <v>9</v>
      </c>
      <c r="E91" s="88">
        <f t="shared" si="14"/>
        <v>0</v>
      </c>
      <c r="F91" s="88">
        <f t="shared" si="15"/>
        <v>0</v>
      </c>
    </row>
    <row r="92" spans="1:6" x14ac:dyDescent="0.2">
      <c r="A92" s="87">
        <v>10</v>
      </c>
      <c r="B92" s="4">
        <v>760</v>
      </c>
      <c r="C92" s="87">
        <f t="shared" si="12"/>
        <v>10</v>
      </c>
      <c r="D92" s="87">
        <f t="shared" si="13"/>
        <v>10</v>
      </c>
      <c r="E92" s="88">
        <f t="shared" si="14"/>
        <v>0</v>
      </c>
      <c r="F92" s="88">
        <f t="shared" si="15"/>
        <v>0</v>
      </c>
    </row>
    <row r="93" spans="1:6" x14ac:dyDescent="0.2">
      <c r="A93" s="87">
        <v>11</v>
      </c>
      <c r="B93" s="4">
        <v>920</v>
      </c>
      <c r="C93" s="87">
        <f t="shared" si="12"/>
        <v>11</v>
      </c>
      <c r="D93" s="87">
        <f t="shared" si="13"/>
        <v>11</v>
      </c>
      <c r="E93" s="88">
        <f t="shared" si="14"/>
        <v>0</v>
      </c>
      <c r="F93" s="88">
        <f t="shared" si="15"/>
        <v>0</v>
      </c>
    </row>
    <row r="94" spans="1:6" x14ac:dyDescent="0.2">
      <c r="A94" s="87">
        <v>12</v>
      </c>
      <c r="B94" s="4">
        <v>1040</v>
      </c>
      <c r="C94" s="87">
        <f t="shared" ref="C94:C100" si="16">RANK(B94, $B$83:$B$100,1)</f>
        <v>12</v>
      </c>
      <c r="D94" s="87">
        <f t="shared" si="13"/>
        <v>12</v>
      </c>
      <c r="E94" s="88">
        <f t="shared" si="14"/>
        <v>0</v>
      </c>
      <c r="F94" s="88">
        <f t="shared" si="15"/>
        <v>0</v>
      </c>
    </row>
    <row r="95" spans="1:6" x14ac:dyDescent="0.2">
      <c r="A95" s="87">
        <v>13</v>
      </c>
      <c r="B95" s="4">
        <v>1657</v>
      </c>
      <c r="C95" s="87">
        <f t="shared" si="16"/>
        <v>13</v>
      </c>
      <c r="D95" s="87">
        <f t="shared" si="13"/>
        <v>13</v>
      </c>
      <c r="E95" s="88">
        <f t="shared" si="14"/>
        <v>0</v>
      </c>
      <c r="F95" s="88">
        <f t="shared" si="15"/>
        <v>0</v>
      </c>
    </row>
    <row r="96" spans="1:6" x14ac:dyDescent="0.2">
      <c r="A96" s="87">
        <v>14</v>
      </c>
      <c r="B96" s="4">
        <v>2032</v>
      </c>
      <c r="C96" s="87">
        <f t="shared" si="16"/>
        <v>14</v>
      </c>
      <c r="D96" s="87">
        <f t="shared" si="13"/>
        <v>14</v>
      </c>
      <c r="E96" s="88">
        <f t="shared" si="14"/>
        <v>0</v>
      </c>
      <c r="F96" s="88">
        <f t="shared" si="15"/>
        <v>0</v>
      </c>
    </row>
    <row r="97" spans="1:6" x14ac:dyDescent="0.2">
      <c r="A97" s="87">
        <v>15</v>
      </c>
      <c r="B97" s="4">
        <v>3221</v>
      </c>
      <c r="C97" s="87">
        <f t="shared" si="16"/>
        <v>15</v>
      </c>
      <c r="D97" s="87">
        <f t="shared" si="13"/>
        <v>15</v>
      </c>
      <c r="E97" s="88">
        <f t="shared" si="14"/>
        <v>0</v>
      </c>
      <c r="F97" s="88">
        <f t="shared" si="15"/>
        <v>0</v>
      </c>
    </row>
    <row r="98" spans="1:6" x14ac:dyDescent="0.2">
      <c r="A98" s="87">
        <v>16</v>
      </c>
      <c r="B98" s="4">
        <v>3921</v>
      </c>
      <c r="C98" s="87">
        <f t="shared" si="16"/>
        <v>16</v>
      </c>
      <c r="D98" s="87">
        <f t="shared" si="13"/>
        <v>16</v>
      </c>
      <c r="E98" s="88">
        <f t="shared" si="14"/>
        <v>0</v>
      </c>
      <c r="F98" s="88">
        <f t="shared" si="15"/>
        <v>0</v>
      </c>
    </row>
    <row r="99" spans="1:6" x14ac:dyDescent="0.2">
      <c r="A99" s="87">
        <v>17</v>
      </c>
      <c r="B99" s="4">
        <v>4986</v>
      </c>
      <c r="C99" s="87">
        <f t="shared" si="16"/>
        <v>17</v>
      </c>
      <c r="D99" s="87">
        <f t="shared" si="13"/>
        <v>17</v>
      </c>
      <c r="E99" s="88">
        <f t="shared" si="14"/>
        <v>0</v>
      </c>
      <c r="F99" s="88">
        <f t="shared" si="15"/>
        <v>0</v>
      </c>
    </row>
    <row r="100" spans="1:6" x14ac:dyDescent="0.2">
      <c r="A100" s="87">
        <v>18</v>
      </c>
      <c r="B100" s="4">
        <v>6359</v>
      </c>
      <c r="C100" s="87">
        <f t="shared" si="16"/>
        <v>18</v>
      </c>
      <c r="D100" s="87">
        <f t="shared" si="13"/>
        <v>18</v>
      </c>
      <c r="E100" s="88">
        <f t="shared" si="14"/>
        <v>0</v>
      </c>
      <c r="F100" s="88">
        <f t="shared" si="15"/>
        <v>0</v>
      </c>
    </row>
    <row r="101" spans="1:6" x14ac:dyDescent="0.2">
      <c r="A101" s="135" t="s">
        <v>25</v>
      </c>
      <c r="B101" s="135"/>
      <c r="C101" s="135"/>
      <c r="D101" s="135"/>
      <c r="E101" s="136">
        <f>SUM(E83:E100)</f>
        <v>0</v>
      </c>
      <c r="F101" s="136">
        <f>SUM(F83:F100)</f>
        <v>0</v>
      </c>
    </row>
  </sheetData>
  <mergeCells count="6">
    <mergeCell ref="A47:A50"/>
    <mergeCell ref="C45:G45"/>
    <mergeCell ref="E1:I1"/>
    <mergeCell ref="E4:F4"/>
    <mergeCell ref="A45:A46"/>
    <mergeCell ref="B45:B4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Исходные данные</vt:lpstr>
      <vt:lpstr>Корреляционный анализ</vt:lpstr>
      <vt:lpstr>Регресионный анализ</vt:lpstr>
      <vt:lpstr>Множественная регрессия</vt:lpstr>
      <vt:lpstr>Проверка гипотез</vt:lpstr>
      <vt:lpstr>Анализ временных рядов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Serge</dc:creator>
  <cp:lastModifiedBy>Федорова Надежда Сергеевна</cp:lastModifiedBy>
  <dcterms:created xsi:type="dcterms:W3CDTF">2015-06-05T18:19:34Z</dcterms:created>
  <dcterms:modified xsi:type="dcterms:W3CDTF">2024-12-17T18:31:14Z</dcterms:modified>
</cp:coreProperties>
</file>